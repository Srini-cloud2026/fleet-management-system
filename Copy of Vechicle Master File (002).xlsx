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ales28\.gemini\antigravity\scratch\fleet_management_system\"/>
    </mc:Choice>
  </mc:AlternateContent>
  <bookViews>
    <workbookView xWindow="-108" yWindow="-108" windowWidth="25824" windowHeight="13896" tabRatio="884" firstSheet="2" activeTab="12"/>
  </bookViews>
  <sheets>
    <sheet name="Fleet Status " sheetId="24" r:id="rId1"/>
    <sheet name="Managmenet Car " sheetId="38" r:id="rId2"/>
    <sheet name="AJMAL " sheetId="52" r:id="rId3"/>
    <sheet name="Noble marine " sheetId="55" r:id="rId4"/>
    <sheet name="Noble star " sheetId="54" r:id="rId5"/>
    <sheet name="Ayaana Cargo" sheetId="5" r:id="rId6"/>
    <sheet name="Halima Pipe" sheetId="6" r:id="rId7"/>
    <sheet name="Geo Foundation" sheetId="7" r:id="rId8"/>
    <sheet name="Ajmal Steel Br1" sheetId="2" r:id="rId9"/>
    <sheet name="Emirates Engineering " sheetId="35" r:id="rId10"/>
    <sheet name="Trucks" sheetId="36" r:id="rId11"/>
    <sheet name="Driver Emp code" sheetId="21" r:id="rId12"/>
    <sheet name="CMA" sheetId="20" r:id="rId13"/>
    <sheet name="Sold " sheetId="39" r:id="rId14"/>
  </sheets>
  <definedNames>
    <definedName name="_xlnm._FilterDatabase" localSheetId="5" hidden="1">'Ayaana Cargo'!$A$1:$G$41</definedName>
    <definedName name="_xlnm._FilterDatabase" localSheetId="12" hidden="1">CMA!$A$1:$H$1</definedName>
    <definedName name="_xlnm._FilterDatabase" localSheetId="9" hidden="1">'Emirates Engineering '!$A$1:$H$1</definedName>
    <definedName name="_xlnm._FilterDatabase" localSheetId="7" hidden="1">'Geo Foundation'!$A$1:$G$7</definedName>
    <definedName name="_xlnm._FilterDatabase" localSheetId="6" hidden="1">'Halima Pipe'!$A$1:$G$15</definedName>
    <definedName name="_xlnm._FilterDatabase" localSheetId="1" hidden="1">'Managmenet Car '!$A$1:$H$11</definedName>
    <definedName name="_xlnm._FilterDatabase" localSheetId="4" hidden="1">'Noble star '!$A$1:$H$85</definedName>
  </definedNames>
  <calcPr calcId="162913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5" l="1"/>
  <c r="F7" i="35"/>
  <c r="H2" i="39" l="1"/>
  <c r="F2" i="39"/>
  <c r="F8" i="35"/>
  <c r="H5" i="35"/>
  <c r="F5" i="35"/>
  <c r="H8" i="35"/>
  <c r="H6" i="35"/>
  <c r="F6" i="35"/>
  <c r="K25" i="24"/>
  <c r="H4" i="35" l="1"/>
  <c r="F4" i="35"/>
  <c r="H3" i="35"/>
  <c r="F3" i="35"/>
  <c r="F2" i="35"/>
  <c r="H2" i="35"/>
  <c r="F3" i="6" l="1"/>
  <c r="H6" i="6"/>
  <c r="F6" i="6"/>
  <c r="H15" i="6"/>
  <c r="F15" i="6"/>
  <c r="H12" i="6"/>
  <c r="H13" i="6"/>
  <c r="H14" i="6"/>
  <c r="F14" i="6"/>
  <c r="F41" i="5"/>
  <c r="H41" i="5"/>
  <c r="H40" i="5" l="1"/>
  <c r="F40" i="5"/>
  <c r="H39" i="5" l="1"/>
  <c r="F39" i="5"/>
  <c r="H38" i="5" l="1"/>
  <c r="F36" i="5"/>
  <c r="F35" i="5" l="1"/>
  <c r="H36" i="5"/>
  <c r="H37" i="5"/>
  <c r="F34" i="5"/>
  <c r="H35" i="5" l="1"/>
  <c r="F33" i="5"/>
  <c r="H34" i="5" l="1"/>
  <c r="F38" i="5"/>
  <c r="H33" i="5"/>
  <c r="F26" i="5"/>
  <c r="H32" i="5" l="1"/>
  <c r="F28" i="5"/>
  <c r="H31" i="5"/>
  <c r="F27" i="5"/>
  <c r="H30" i="5"/>
  <c r="F23" i="5"/>
  <c r="H29" i="5"/>
  <c r="F22" i="5"/>
  <c r="H3" i="6" l="1"/>
  <c r="H4" i="6"/>
  <c r="H5" i="6"/>
  <c r="H10" i="6"/>
  <c r="H11" i="6"/>
  <c r="H2" i="6"/>
  <c r="F13" i="6"/>
  <c r="F11" i="6"/>
  <c r="F12" i="6"/>
  <c r="F2" i="6"/>
  <c r="F4" i="6"/>
  <c r="F5" i="6"/>
  <c r="H3" i="7" l="1"/>
  <c r="H4" i="7"/>
  <c r="H5" i="7"/>
  <c r="H6" i="7"/>
  <c r="H7" i="7"/>
  <c r="H2" i="7"/>
  <c r="F5" i="7"/>
  <c r="F6" i="7"/>
  <c r="F7" i="7"/>
  <c r="F2" i="7"/>
  <c r="F3" i="7"/>
  <c r="F4" i="7"/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" i="5"/>
  <c r="F5" i="5"/>
  <c r="F6" i="5"/>
  <c r="F7" i="5"/>
  <c r="F2" i="5"/>
  <c r="F3" i="5"/>
  <c r="F8" i="5"/>
  <c r="F9" i="5"/>
  <c r="F10" i="5"/>
  <c r="F11" i="5"/>
  <c r="F12" i="5"/>
  <c r="F13" i="5"/>
  <c r="F16" i="5"/>
  <c r="F17" i="5"/>
  <c r="F14" i="5"/>
  <c r="F15" i="5"/>
  <c r="F18" i="5"/>
  <c r="F19" i="5"/>
  <c r="F20" i="5"/>
  <c r="F21" i="5"/>
  <c r="F24" i="5"/>
  <c r="F25" i="5"/>
  <c r="F29" i="5"/>
  <c r="F30" i="5"/>
  <c r="F31" i="5"/>
  <c r="F32" i="5"/>
  <c r="F37" i="5"/>
  <c r="F4" i="5"/>
  <c r="H2" i="2" l="1"/>
  <c r="F2" i="2"/>
</calcChain>
</file>

<file path=xl/sharedStrings.xml><?xml version="1.0" encoding="utf-8"?>
<sst xmlns="http://schemas.openxmlformats.org/spreadsheetml/2006/main" count="1401" uniqueCount="471">
  <si>
    <t>PLATE NO</t>
  </si>
  <si>
    <t>MODEL</t>
  </si>
  <si>
    <t>MULKIYA EXP DATE</t>
  </si>
  <si>
    <t>V.DAYS</t>
  </si>
  <si>
    <t>INSURANCE EXP DATE</t>
  </si>
  <si>
    <t>S.NO</t>
  </si>
  <si>
    <t>JCB</t>
  </si>
  <si>
    <t>7/23364</t>
  </si>
  <si>
    <t>11/79849</t>
  </si>
  <si>
    <t>NISSAN 2400</t>
  </si>
  <si>
    <t>VEHICLE TYPE</t>
  </si>
  <si>
    <t>16/45597</t>
  </si>
  <si>
    <t>NISSAN SUNNY</t>
  </si>
  <si>
    <t>16/37896</t>
  </si>
  <si>
    <t>NISSAN KICKS</t>
  </si>
  <si>
    <t>1/94997</t>
  </si>
  <si>
    <t>TRAILER</t>
  </si>
  <si>
    <t>11/60834</t>
  </si>
  <si>
    <t>TATA DAEWOO</t>
  </si>
  <si>
    <t>16/37905</t>
  </si>
  <si>
    <t>16/41472</t>
  </si>
  <si>
    <t>8/15197</t>
  </si>
  <si>
    <t>MITSUBISHI</t>
  </si>
  <si>
    <t>13/51350</t>
  </si>
  <si>
    <t>FORKLIFT</t>
  </si>
  <si>
    <t>19/46245</t>
  </si>
  <si>
    <t>19/46101</t>
  </si>
  <si>
    <t>50/48763</t>
  </si>
  <si>
    <t>ASHOK LEYLAND</t>
  </si>
  <si>
    <t>HONDA ACCORD</t>
  </si>
  <si>
    <t>8/10768</t>
  </si>
  <si>
    <t>1/93540</t>
  </si>
  <si>
    <t>10/74259</t>
  </si>
  <si>
    <t>TOYOTA HIACE</t>
  </si>
  <si>
    <t>14/34627</t>
  </si>
  <si>
    <t>18/32409</t>
  </si>
  <si>
    <t>13/52983</t>
  </si>
  <si>
    <t>11/44627</t>
  </si>
  <si>
    <t>7/98029</t>
  </si>
  <si>
    <t>50/17743</t>
  </si>
  <si>
    <t>TOYOTA LAND CRUISER</t>
  </si>
  <si>
    <t>50/19148</t>
  </si>
  <si>
    <t>TOYOTA RUSH</t>
  </si>
  <si>
    <t>19/30913</t>
  </si>
  <si>
    <t>VOLVO</t>
  </si>
  <si>
    <t>12/53622</t>
  </si>
  <si>
    <t>15/41584</t>
  </si>
  <si>
    <t>17/43168</t>
  </si>
  <si>
    <t>18/69425</t>
  </si>
  <si>
    <t>18/69438</t>
  </si>
  <si>
    <t>9/68089</t>
  </si>
  <si>
    <t>DAEWOO</t>
  </si>
  <si>
    <t>1/94709</t>
  </si>
  <si>
    <t>9/44302</t>
  </si>
  <si>
    <t>TATA 4534</t>
  </si>
  <si>
    <t>1/94801</t>
  </si>
  <si>
    <t>1/94998</t>
  </si>
  <si>
    <t>8/32149</t>
  </si>
  <si>
    <t>1/91196</t>
  </si>
  <si>
    <t>19/60156</t>
  </si>
  <si>
    <t>TOYOTA HILUX</t>
  </si>
  <si>
    <t>19/27645</t>
  </si>
  <si>
    <t>19/40926</t>
  </si>
  <si>
    <t>18/71548</t>
  </si>
  <si>
    <t>1/90685</t>
  </si>
  <si>
    <t>7/21757</t>
  </si>
  <si>
    <t>4/39260</t>
  </si>
  <si>
    <t>10/71821</t>
  </si>
  <si>
    <t>12/55496</t>
  </si>
  <si>
    <t>18/43702</t>
  </si>
  <si>
    <t>5/24641</t>
  </si>
  <si>
    <t>1/82106</t>
  </si>
  <si>
    <t>2/67926</t>
  </si>
  <si>
    <t>1/91765</t>
  </si>
  <si>
    <t>1/86665</t>
  </si>
  <si>
    <t>2/75268</t>
  </si>
  <si>
    <t>TATA</t>
  </si>
  <si>
    <t>1/94151</t>
  </si>
  <si>
    <t>2/65142</t>
  </si>
  <si>
    <t>2/75356</t>
  </si>
  <si>
    <t>1/94153</t>
  </si>
  <si>
    <t>1/73373</t>
  </si>
  <si>
    <t>2/57913</t>
  </si>
  <si>
    <t>1/73109</t>
  </si>
  <si>
    <t>2/91061</t>
  </si>
  <si>
    <t>2/57027</t>
  </si>
  <si>
    <t>1/58617</t>
  </si>
  <si>
    <t>1/72262</t>
  </si>
  <si>
    <t>1/56966</t>
  </si>
  <si>
    <t>MERCEDES 2038</t>
  </si>
  <si>
    <t>1/78948</t>
  </si>
  <si>
    <t>1/91836</t>
  </si>
  <si>
    <t>1/88812</t>
  </si>
  <si>
    <t>Y/26523</t>
  </si>
  <si>
    <t>C/99567</t>
  </si>
  <si>
    <t>N/80959</t>
  </si>
  <si>
    <t>D/62868</t>
  </si>
  <si>
    <t>X/75981</t>
  </si>
  <si>
    <t>E/81545</t>
  </si>
  <si>
    <t>R/87957</t>
  </si>
  <si>
    <t>TOYOTA INNOVA</t>
  </si>
  <si>
    <t>W/48594</t>
  </si>
  <si>
    <t>W/48593</t>
  </si>
  <si>
    <t>C/71039</t>
  </si>
  <si>
    <t>1/90428</t>
  </si>
  <si>
    <t>17/91633</t>
  </si>
  <si>
    <t>1/90258</t>
  </si>
  <si>
    <t>8/16459</t>
  </si>
  <si>
    <t>MERCEDES 1726</t>
  </si>
  <si>
    <t>11/50125</t>
  </si>
  <si>
    <t>2/48566</t>
  </si>
  <si>
    <t>2/59633</t>
  </si>
  <si>
    <t>TOYOTA - RUSH</t>
  </si>
  <si>
    <t>TOYOTA CAMRY</t>
  </si>
  <si>
    <t>20/97544</t>
  </si>
  <si>
    <t>TOYOTA VELOZ</t>
  </si>
  <si>
    <t>KOMATSU</t>
  </si>
  <si>
    <t>15/23379</t>
  </si>
  <si>
    <t>15/23374</t>
  </si>
  <si>
    <t>1/42284</t>
  </si>
  <si>
    <t>1/68408</t>
  </si>
  <si>
    <t>1/42669</t>
  </si>
  <si>
    <t>1/68327</t>
  </si>
  <si>
    <t>1/67807</t>
  </si>
  <si>
    <t>1/67808</t>
  </si>
  <si>
    <t>20/15977</t>
  </si>
  <si>
    <t>20/84391</t>
  </si>
  <si>
    <t>2/39645</t>
  </si>
  <si>
    <t>2/39643</t>
  </si>
  <si>
    <t>1/40035</t>
  </si>
  <si>
    <t>14/73285</t>
  </si>
  <si>
    <t>15/70635</t>
  </si>
  <si>
    <t>2/39713</t>
  </si>
  <si>
    <t>GAC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</si>
  <si>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</si>
  <si>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1/35099</t>
  </si>
  <si>
    <t>10/48817</t>
  </si>
  <si>
    <t>2/35804</t>
  </si>
  <si>
    <t>1/65473</t>
  </si>
  <si>
    <t>1/65551</t>
  </si>
  <si>
    <t>1/65549</t>
  </si>
  <si>
    <t>2/57840</t>
  </si>
  <si>
    <t>1/65950</t>
  </si>
  <si>
    <t>2/35059</t>
  </si>
  <si>
    <t>2/35023</t>
  </si>
  <si>
    <t>1/64928</t>
  </si>
  <si>
    <t>1/64929</t>
  </si>
  <si>
    <t>21/59268</t>
  </si>
  <si>
    <t>21/59270</t>
  </si>
  <si>
    <t>21/59269</t>
  </si>
  <si>
    <t>21/58726</t>
  </si>
  <si>
    <t>1/64732</t>
  </si>
  <si>
    <t>1/64734</t>
  </si>
  <si>
    <t>16/17457</t>
  </si>
  <si>
    <t>16/17470</t>
  </si>
  <si>
    <t>1/64831</t>
  </si>
  <si>
    <t>1/85602</t>
  </si>
  <si>
    <t>NISSAN 10 TON (Scrap)</t>
  </si>
  <si>
    <t>HONDA CRV</t>
  </si>
  <si>
    <t>21/36877</t>
  </si>
  <si>
    <t>2/33265</t>
  </si>
  <si>
    <t>2/31872</t>
  </si>
  <si>
    <t>1/67399</t>
  </si>
  <si>
    <t>1/30064</t>
  </si>
  <si>
    <t>1/64193</t>
  </si>
  <si>
    <t>1/63644</t>
  </si>
  <si>
    <t>1/63379</t>
  </si>
  <si>
    <t xml:space="preserve">         S.NO         رقم تسلسل</t>
  </si>
  <si>
    <t>Vehicle Plate No     رقم المركبة</t>
  </si>
  <si>
    <t xml:space="preserve">Vehicle source      مصدر المركبة </t>
  </si>
  <si>
    <t>Vehicle brand-نوع السياره</t>
  </si>
  <si>
    <t>Plate Type-رمز اللوحة</t>
  </si>
  <si>
    <t>Year of vehicle-سنة الصنع</t>
  </si>
  <si>
    <t>Vehicle model-صنف المركبة</t>
  </si>
  <si>
    <t>Type of transport-نوع الحمولة</t>
  </si>
  <si>
    <t>ADH</t>
  </si>
  <si>
    <t>PRIVATE ( A )</t>
  </si>
  <si>
    <t>Man truck ( TGE )</t>
  </si>
  <si>
    <t xml:space="preserve"> non natural material</t>
  </si>
  <si>
    <t>DXB</t>
  </si>
  <si>
    <t>1/63275</t>
  </si>
  <si>
    <t>2/29865</t>
  </si>
  <si>
    <t>1/62986</t>
  </si>
  <si>
    <t xml:space="preserve">2/35059 </t>
  </si>
  <si>
    <t xml:space="preserve">2/33265 </t>
  </si>
  <si>
    <t xml:space="preserve">2/57840 </t>
  </si>
  <si>
    <t xml:space="preserve">1/85602 </t>
  </si>
  <si>
    <t>VALID DAYS</t>
  </si>
  <si>
    <t>REGD. OWNER</t>
  </si>
  <si>
    <t>AYAANA</t>
  </si>
  <si>
    <t>TOYOTA HIACE - Food van</t>
  </si>
  <si>
    <t>TOYOTA LITE ACE - Food van</t>
  </si>
  <si>
    <t>22/81369</t>
  </si>
  <si>
    <t>22/81370</t>
  </si>
  <si>
    <t>1/25520</t>
  </si>
  <si>
    <t>1/28178</t>
  </si>
  <si>
    <t>1/27294</t>
  </si>
  <si>
    <t>1/62946</t>
  </si>
  <si>
    <t>NISSAN PATROL</t>
  </si>
  <si>
    <t>FORKLIFT 3T Electric</t>
  </si>
  <si>
    <t>1/24725</t>
  </si>
  <si>
    <t>1/61637</t>
  </si>
  <si>
    <t>1/60665</t>
  </si>
  <si>
    <t>1/60667</t>
  </si>
  <si>
    <t>1/60455</t>
  </si>
  <si>
    <t>BOGIE</t>
  </si>
  <si>
    <t>ASHOK LEYLAND BUS</t>
  </si>
  <si>
    <t>22/85560</t>
  </si>
  <si>
    <t>CATERPILLAR DP70</t>
  </si>
  <si>
    <t>22/45156</t>
  </si>
  <si>
    <t>12/86928</t>
  </si>
  <si>
    <t>1/59438</t>
  </si>
  <si>
    <t>TRAILER BOGIE</t>
  </si>
  <si>
    <t>1/59263</t>
  </si>
  <si>
    <t>1/56444</t>
  </si>
  <si>
    <t>2/22607</t>
  </si>
  <si>
    <t>18/78622</t>
  </si>
  <si>
    <t>MITSUBISH 34 seater</t>
  </si>
  <si>
    <t>MITSUBISHI L200</t>
  </si>
  <si>
    <t>21/86231</t>
  </si>
  <si>
    <t>TOYOTA HIACE - 14 SEATER</t>
  </si>
  <si>
    <t>2026</t>
  </si>
  <si>
    <t>13/44951</t>
  </si>
  <si>
    <t>12/61439</t>
  </si>
  <si>
    <t>14/63694</t>
  </si>
  <si>
    <t>14/63055</t>
  </si>
  <si>
    <t>MITSUBISHI ROSA</t>
  </si>
  <si>
    <t>S no</t>
  </si>
  <si>
    <t>Emp
Code</t>
  </si>
  <si>
    <t>Employee's Name</t>
  </si>
  <si>
    <t>Laeiq Ahmad</t>
  </si>
  <si>
    <t>Manikanda Velu</t>
  </si>
  <si>
    <t>Jeetpal</t>
  </si>
  <si>
    <t>Sandeep Singh</t>
  </si>
  <si>
    <t>Jagnminder Singh</t>
  </si>
  <si>
    <t>Gurmeet Singh</t>
  </si>
  <si>
    <t>Parvez Alam</t>
  </si>
  <si>
    <t>Mohamed Arif</t>
  </si>
  <si>
    <t>Mohamed Ahmed</t>
  </si>
  <si>
    <t>Amolikjit Singh</t>
  </si>
  <si>
    <t>Kabal singh</t>
  </si>
  <si>
    <t>Gurpreet singh</t>
  </si>
  <si>
    <t>Jagjith Singh</t>
  </si>
  <si>
    <t>Navdeep Singh</t>
  </si>
  <si>
    <t>Sukhchain Singh</t>
  </si>
  <si>
    <t>Syed Piyaru</t>
  </si>
  <si>
    <t>Satnam Singh</t>
  </si>
  <si>
    <t>Gurusaran</t>
  </si>
  <si>
    <t>Sivanantham- (Mechanic)</t>
  </si>
  <si>
    <t>Altaf Basha</t>
  </si>
  <si>
    <t xml:space="preserve">Lovepreet </t>
  </si>
  <si>
    <t>Rupender Singh</t>
  </si>
  <si>
    <t>Ajmeer singh</t>
  </si>
  <si>
    <t>Jaspal Singh</t>
  </si>
  <si>
    <t>Jagmeet Singh</t>
  </si>
  <si>
    <t>Manjeet Singh</t>
  </si>
  <si>
    <t>Sukdev Singh</t>
  </si>
  <si>
    <t xml:space="preserve">Gurjeet Singh </t>
  </si>
  <si>
    <t>HS Kulwant Singh</t>
  </si>
  <si>
    <t>Harwinder Singh GS (Mechanic)</t>
  </si>
  <si>
    <t>Baljooth Singh</t>
  </si>
  <si>
    <t>ManpreethSingh</t>
  </si>
  <si>
    <t>Gurwinder  Singh</t>
  </si>
  <si>
    <t>Jasweer Singh</t>
  </si>
  <si>
    <t>Amandeep Singh</t>
  </si>
  <si>
    <t>Gurudeep Singh II</t>
  </si>
  <si>
    <t>Angrej Singh</t>
  </si>
  <si>
    <t>Anil Kumar Kejriwal</t>
  </si>
  <si>
    <t>Barinder Singh</t>
  </si>
  <si>
    <t>Ranbir Singh</t>
  </si>
  <si>
    <t>Yugraj Singh</t>
  </si>
  <si>
    <t>Jaspreeth Singh</t>
  </si>
  <si>
    <t>Daljeet Singh Malhi</t>
  </si>
  <si>
    <t>Sukdev Singh II</t>
  </si>
  <si>
    <t>Harjeet Singh</t>
  </si>
  <si>
    <t>Daljit Singh Sandhu</t>
  </si>
  <si>
    <t>Harwinder Singh Baljit Singh</t>
  </si>
  <si>
    <t>Balpreet singh</t>
  </si>
  <si>
    <t>Saleem</t>
  </si>
  <si>
    <t>Anandan</t>
  </si>
  <si>
    <t>Chanrnjeet Singh</t>
  </si>
  <si>
    <t>Mohamed Aslam</t>
  </si>
  <si>
    <t>Lakwinder Singh</t>
  </si>
  <si>
    <t>Bhupinder Singh</t>
  </si>
  <si>
    <t>Jagpinder Singh</t>
  </si>
  <si>
    <t>Karnbir Singh</t>
  </si>
  <si>
    <t>Kannappan (Mechanic)</t>
  </si>
  <si>
    <t>Arvind Singh</t>
  </si>
  <si>
    <t>Mandeep Singh</t>
  </si>
  <si>
    <t>Nishand Singh</t>
  </si>
  <si>
    <t>Arvinder Singh</t>
  </si>
  <si>
    <t>Bikramajit singh</t>
  </si>
  <si>
    <t>Jatinder Singh</t>
  </si>
  <si>
    <t>Jasvinder Singh</t>
  </si>
  <si>
    <t>Jagjit</t>
  </si>
  <si>
    <t>1/17680</t>
  </si>
  <si>
    <t>1/17682</t>
  </si>
  <si>
    <t>AJMAL STEEL</t>
  </si>
  <si>
    <t>GEO FOUNDATION</t>
  </si>
  <si>
    <t>NOBLE MARINE</t>
  </si>
  <si>
    <t>1/65475</t>
  </si>
  <si>
    <t>2/19181</t>
  </si>
  <si>
    <t>2/19185</t>
  </si>
  <si>
    <t>1/57562</t>
  </si>
  <si>
    <t>1/57563</t>
  </si>
  <si>
    <t>1/57564</t>
  </si>
  <si>
    <t>1/56954</t>
  </si>
  <si>
    <t>1/16309</t>
  </si>
  <si>
    <t>1/16310</t>
  </si>
  <si>
    <t>2009</t>
  </si>
  <si>
    <t>Row Labels</t>
  </si>
  <si>
    <t>Grand Total</t>
  </si>
  <si>
    <t>Count of VEHICLE TYPE</t>
  </si>
  <si>
    <t xml:space="preserve">Ayyaana Cargo </t>
  </si>
  <si>
    <t xml:space="preserve">Remark </t>
  </si>
  <si>
    <t xml:space="preserve">Due </t>
  </si>
  <si>
    <t>GEO</t>
  </si>
  <si>
    <t>CATERPILLAR</t>
  </si>
  <si>
    <t>5/76839</t>
  </si>
  <si>
    <t>Nobal Marin</t>
  </si>
  <si>
    <t>1/69883</t>
  </si>
  <si>
    <t>1/69882</t>
  </si>
  <si>
    <t>1/58759</t>
  </si>
  <si>
    <t>1/57507</t>
  </si>
  <si>
    <t xml:space="preserve">Trailer </t>
  </si>
  <si>
    <t>20/ 14815</t>
  </si>
  <si>
    <t xml:space="preserve">Forklift </t>
  </si>
  <si>
    <t>22/58892</t>
  </si>
  <si>
    <t>22/58893</t>
  </si>
  <si>
    <t>20/74639</t>
  </si>
  <si>
    <t>Ajmal Steel</t>
  </si>
  <si>
    <t>Note 36878/ 36877</t>
  </si>
  <si>
    <t>Ajmal Branch</t>
  </si>
  <si>
    <t>EE 11948</t>
  </si>
  <si>
    <t>FF 39012</t>
  </si>
  <si>
    <t xml:space="preserve">Nissan Kick </t>
  </si>
  <si>
    <t>FF38994</t>
  </si>
  <si>
    <t xml:space="preserve">Nissan sunny </t>
  </si>
  <si>
    <t xml:space="preserve">Total </t>
  </si>
  <si>
    <t xml:space="preserve">Halima </t>
  </si>
  <si>
    <t>22/27189</t>
  </si>
  <si>
    <t xml:space="preserve">Truck </t>
  </si>
  <si>
    <t>Emirates Eng</t>
  </si>
  <si>
    <t>23/61405</t>
  </si>
  <si>
    <t>23/61741</t>
  </si>
  <si>
    <t>1/56205</t>
  </si>
  <si>
    <t>Nissan Sunny</t>
  </si>
  <si>
    <t>22/94620</t>
  </si>
  <si>
    <t xml:space="preserve">Driver Name </t>
  </si>
  <si>
    <t>23/56951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</si>
  <si>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</si>
  <si>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S.No</t>
  </si>
  <si>
    <t>Truck No</t>
  </si>
  <si>
    <t>Trailer No</t>
  </si>
  <si>
    <t>Regn.</t>
  </si>
  <si>
    <t>Make</t>
  </si>
  <si>
    <t>Model</t>
  </si>
  <si>
    <t>Year</t>
  </si>
  <si>
    <t>Transport</t>
  </si>
  <si>
    <t>Driver Name</t>
  </si>
  <si>
    <t>Mobile No.</t>
  </si>
  <si>
    <t xml:space="preserve">Licence </t>
  </si>
  <si>
    <t xml:space="preserve">Lic Expiry </t>
  </si>
  <si>
    <t>Remark</t>
  </si>
  <si>
    <t>FH</t>
  </si>
  <si>
    <t>AYAANA CARGO</t>
  </si>
  <si>
    <t>FH12</t>
  </si>
  <si>
    <t>AD</t>
  </si>
  <si>
    <t>Jugraj Singh</t>
  </si>
  <si>
    <t>MERCEDES</t>
  </si>
  <si>
    <t>Sukhpreet Singh</t>
  </si>
  <si>
    <t>FH460</t>
  </si>
  <si>
    <t>NOBLE STAR GENERAL TRANSPORT</t>
  </si>
  <si>
    <t>Sukhdev Singh</t>
  </si>
  <si>
    <t>Daljit Singh</t>
  </si>
  <si>
    <t>Manpreet Singh</t>
  </si>
  <si>
    <t>Gursharan Singh</t>
  </si>
  <si>
    <t>Jaspreet Singh</t>
  </si>
  <si>
    <t>FH500</t>
  </si>
  <si>
    <t>Noor Muhammad</t>
  </si>
  <si>
    <t>FH420</t>
  </si>
  <si>
    <t>Gurdip Singh</t>
  </si>
  <si>
    <t>Sukhdeep Singh</t>
  </si>
  <si>
    <t>Gurjeet Singh</t>
  </si>
  <si>
    <t>Zulfeqar Ahmad</t>
  </si>
  <si>
    <t>Lovepreet Singh</t>
  </si>
  <si>
    <t>Harvinder Singh</t>
  </si>
  <si>
    <t>Harmal Singh</t>
  </si>
  <si>
    <t>Nishan Singh</t>
  </si>
  <si>
    <t>Mujib Rain</t>
  </si>
  <si>
    <t>NOVUS</t>
  </si>
  <si>
    <t>Anandan Vinayagam</t>
  </si>
  <si>
    <t>Mohammad Wasimuddin</t>
  </si>
  <si>
    <t>FH400</t>
  </si>
  <si>
    <t>Baljodh Singh</t>
  </si>
  <si>
    <t>Jeetpal Singh</t>
  </si>
  <si>
    <t>Abhaypartap Singh</t>
  </si>
  <si>
    <t>Bikramjit Singh</t>
  </si>
  <si>
    <t>Mohammad Arif</t>
  </si>
  <si>
    <t>Jagminder Singh</t>
  </si>
  <si>
    <t>Kabal Singh</t>
  </si>
  <si>
    <t>Mahaboob Basha</t>
  </si>
  <si>
    <t>Mannikkandan Velu</t>
  </si>
  <si>
    <t>Saleem Ambalathveettil</t>
  </si>
  <si>
    <t>Gurwinder Singh</t>
  </si>
  <si>
    <t>Jasvir Singh</t>
  </si>
  <si>
    <t>Mohamad Shadab</t>
  </si>
  <si>
    <t>Harpreet Singh</t>
  </si>
  <si>
    <t>Aslam</t>
  </si>
  <si>
    <t>HALIMA PIPE</t>
  </si>
  <si>
    <t>Harwinder Singh</t>
  </si>
  <si>
    <t>Ajmer Singh</t>
  </si>
  <si>
    <t>Charnjeet Singh</t>
  </si>
  <si>
    <t>Jagjit Singh</t>
  </si>
  <si>
    <t>EMIRATES ENGINEERING</t>
  </si>
  <si>
    <t xml:space="preserve">Rupinder Pal </t>
  </si>
  <si>
    <t>Ismail Khan</t>
  </si>
  <si>
    <t>FH 420</t>
  </si>
  <si>
    <t>Plate No.</t>
  </si>
  <si>
    <t>Plate Category</t>
  </si>
  <si>
    <t>Vehicle Kind</t>
  </si>
  <si>
    <t>Vehicle Color</t>
  </si>
  <si>
    <t>Registration Expiry Date</t>
  </si>
  <si>
    <t>Insurance Expiry Date</t>
  </si>
  <si>
    <t>ABU DHABI, TENTH CATEGORY, PRIVATE</t>
  </si>
  <si>
    <t>MERCEDES, S 63, COUPE</t>
  </si>
  <si>
    <t>GRAY</t>
  </si>
  <si>
    <t>ABU DHABI, SIXTH CATEGORY, PRIVATE</t>
  </si>
  <si>
    <t>FERRARI, PUROSANGUE, STATION</t>
  </si>
  <si>
    <t>BLACK</t>
  </si>
  <si>
    <t>MERCEDES, C 63 AMG, COUPE</t>
  </si>
  <si>
    <t>ABU DHABI, EIGHTH CATEGORY, PRIVATE</t>
  </si>
  <si>
    <t>PORSCHE, GT 3, COUPE</t>
  </si>
  <si>
    <t>GREEN</t>
  </si>
  <si>
    <t>ABU DHABI, FOURTEENTH CATEGORY, PRIVATE</t>
  </si>
  <si>
    <t>BENTLEY, FLYING SPUR, SEDAN</t>
  </si>
  <si>
    <t>SILVER/VIOLET</t>
  </si>
  <si>
    <t>ABU DHABI, FIFTIETH CATEGORY, PRIVATE</t>
  </si>
  <si>
    <t>ROLLS ROYCE, PHANTOM, SEDAN</t>
  </si>
  <si>
    <t>BLACK/GOLDEN</t>
  </si>
  <si>
    <t>ABU DHABI, TWENTY-FIRST CATEGORY, PRIVATE</t>
  </si>
  <si>
    <t>FERRARI, 488BISTA, COUPE</t>
  </si>
  <si>
    <t>PORSCHE, 911 GT3RS, COUPE</t>
  </si>
  <si>
    <t>ABU DHABI, NINTEENTH CATEGORY, PRIVATE</t>
  </si>
  <si>
    <t>FERRARI, 296 GTS, COUPE</t>
  </si>
  <si>
    <t>BLUE</t>
  </si>
  <si>
    <t>ABU DHABI, SEVENTH CATEGORY, PRIVATE</t>
  </si>
  <si>
    <t>MERCEDES, G 63 AMG, STATION</t>
  </si>
  <si>
    <t>Sr No</t>
  </si>
  <si>
    <t>Vehicle Type</t>
  </si>
  <si>
    <t>Car</t>
  </si>
  <si>
    <t>car</t>
  </si>
  <si>
    <t>Count of Vehicle Type</t>
  </si>
  <si>
    <t>1/55590</t>
  </si>
  <si>
    <t xml:space="preserve">Remark  </t>
  </si>
  <si>
    <t xml:space="preserve">Ajmal  Main </t>
  </si>
  <si>
    <t xml:space="preserve">Cancel </t>
  </si>
  <si>
    <t>Feu lcancel</t>
  </si>
  <si>
    <t>23/ 52327</t>
  </si>
  <si>
    <t>23/ 52329</t>
  </si>
  <si>
    <t>VALID DAYS2</t>
  </si>
  <si>
    <t>Details for Count of VEHICLE TYPE</t>
  </si>
  <si>
    <t>Mubark</t>
  </si>
  <si>
    <t xml:space="preserve">Fire </t>
  </si>
  <si>
    <t>23/20724</t>
  </si>
  <si>
    <t>To be sold</t>
  </si>
  <si>
    <t>Chassis Bend</t>
  </si>
  <si>
    <t>Noble Star</t>
  </si>
  <si>
    <t>Fire</t>
  </si>
  <si>
    <t>Ayaana cargo</t>
  </si>
  <si>
    <t>Under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</si>
</sst>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/mmm/yy;@"/>
    <numFmt numFmtId="165" formatCode="[$-409]dd/mmm/yy;@"/>
    <numFmt numFmtId="166" formatCode="0000000000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Sylfae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666666"/>
      <name val="Arial"/>
      <family val="2"/>
    </font>
    <font>
      <b/>
      <sz val="14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65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0" xfId="0" applyFill="1"/>
    <xf numFmtId="0" fontId="1" fillId="3" borderId="2" xfId="0" applyFont="1" applyFill="1" applyBorder="1" applyAlignment="1">
      <alignment horizontal="center" vertical="center"/>
    </xf>
    <xf numFmtId="0" fontId="0" fillId="0" borderId="1" xfId="0" pivotButton="1" applyBorder="1" applyAlignment="1">
      <alignment horizontal="center"/>
    </xf>
    <xf numFmtId="49" fontId="1" fillId="4" borderId="9" xfId="0" applyNumberFormat="1" applyFont="1" applyFill="1" applyBorder="1"/>
    <xf numFmtId="15" fontId="0" fillId="0" borderId="1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/>
    <xf numFmtId="164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9" fillId="2" borderId="0" xfId="0" applyFont="1" applyFill="1"/>
    <xf numFmtId="0" fontId="10" fillId="8" borderId="0" xfId="0" applyFont="1" applyFill="1"/>
    <xf numFmtId="0" fontId="0" fillId="0" borderId="10" xfId="0" applyBorder="1"/>
    <xf numFmtId="0" fontId="0" fillId="0" borderId="12" xfId="0" applyBorder="1"/>
    <xf numFmtId="0" fontId="0" fillId="4" borderId="13" xfId="0" applyFill="1" applyBorder="1"/>
    <xf numFmtId="0" fontId="0" fillId="4" borderId="11" xfId="0" applyFill="1" applyBorder="1"/>
    <xf numFmtId="0" fontId="2" fillId="8" borderId="1" xfId="0" applyFont="1" applyFill="1" applyBorder="1" applyAlignment="1">
      <alignment horizontal="center"/>
    </xf>
    <xf numFmtId="0" fontId="0" fillId="0" borderId="14" xfId="0" pivotButton="1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pivotButton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7" xfId="0" applyBorder="1"/>
    <xf numFmtId="0" fontId="0" fillId="0" borderId="20" xfId="0" applyBorder="1" applyAlignment="1">
      <alignment horizontal="left"/>
    </xf>
    <xf numFmtId="0" fontId="0" fillId="0" borderId="20" xfId="0" applyBorder="1"/>
    <xf numFmtId="0" fontId="0" fillId="2" borderId="1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20" xfId="0" pivotButton="1" applyBorder="1"/>
    <xf numFmtId="0" fontId="2" fillId="0" borderId="7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166" fontId="1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/>
    </xf>
    <xf numFmtId="166" fontId="1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0" fontId="2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2" fillId="15" borderId="1" xfId="0" applyFont="1" applyFill="1" applyBorder="1" applyAlignment="1">
      <alignment horizontal="center" vertical="center"/>
    </xf>
    <xf numFmtId="166" fontId="1" fillId="15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0" borderId="0" xfId="0" pivotButton="1"/>
    <xf numFmtId="0" fontId="0" fillId="0" borderId="9" xfId="0" applyBorder="1"/>
    <xf numFmtId="0" fontId="15" fillId="16" borderId="1" xfId="0" applyFont="1" applyFill="1" applyBorder="1" applyAlignment="1">
      <alignment horizontal="center" vertical="center" wrapText="1"/>
    </xf>
    <xf numFmtId="14" fontId="15" fillId="16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6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15" fontId="0" fillId="10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22" xfId="0" applyFill="1" applyBorder="1"/>
    <xf numFmtId="0" fontId="0" fillId="0" borderId="1" xfId="0" pivotButton="1" applyBorder="1"/>
    <xf numFmtId="0" fontId="3" fillId="0" borderId="0" xfId="0" applyFont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9" borderId="1" xfId="0" applyFill="1" applyBorder="1"/>
    <xf numFmtId="0" fontId="0" fillId="4" borderId="1" xfId="0" applyFill="1" applyBorder="1" applyAlignment="1">
      <alignment horizontal="center"/>
    </xf>
    <xf numFmtId="0" fontId="1" fillId="8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1" fillId="9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2" fillId="18" borderId="1" xfId="0" applyFont="1" applyFill="1" applyBorder="1" applyAlignment="1">
      <alignment horizontal="center"/>
    </xf>
    <xf numFmtId="164" fontId="1" fillId="18" borderId="1" xfId="0" applyNumberFormat="1" applyFont="1" applyFill="1" applyBorder="1" applyAlignment="1">
      <alignment horizontal="center"/>
    </xf>
    <xf numFmtId="0" fontId="0" fillId="18" borderId="0" xfId="0" applyFill="1"/>
    <xf numFmtId="0" fontId="0" fillId="18" borderId="20" xfId="0" applyFill="1" applyBorder="1"/>
    <xf numFmtId="0" fontId="1" fillId="18" borderId="7" xfId="0" applyFont="1" applyFill="1" applyBorder="1" applyAlignment="1">
      <alignment horizontal="center"/>
    </xf>
    <xf numFmtId="0" fontId="1" fillId="18" borderId="7" xfId="0" applyFont="1" applyFill="1" applyBorder="1"/>
    <xf numFmtId="0" fontId="2" fillId="18" borderId="7" xfId="0" applyFont="1" applyFill="1" applyBorder="1" applyAlignment="1">
      <alignment horizontal="center"/>
    </xf>
    <xf numFmtId="164" fontId="1" fillId="18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10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000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000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22/Desktop/21.8.2026%20Master%20Fil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noth.D" refreshedDate="46263.643384143521" createdVersion="8" refreshedVersion="8" minRefreshableVersion="3" recordCount="56">
  <cacheSource type="worksheet">
    <worksheetSource ref="A1:H57" sheet="Sheet4" r:id="rId2"/>
  </cacheSource>
  <cacheFields count="8">
    <cacheField name="Sr" numFmtId="0">
      <sharedItems containsSemiMixedTypes="0" containsString="0" containsNumber="1" containsInteger="1" minValue="1" maxValue="56"/>
    </cacheField>
    <cacheField name="PLATE NO" numFmtId="49">
      <sharedItems/>
    </cacheField>
    <cacheField name="VEHICLE TYPE" numFmtId="0">
      <sharedItems count="23">
        <s v="FORKLIFT"/>
        <s v="TOYOTA VELOZ"/>
        <s v="NISSAN SUNNY"/>
        <s v="NISSAN 2400"/>
        <s v="ASHOK LEYLAND"/>
        <s v="KOMATSU"/>
        <s v="NISSAN KICKS"/>
        <s v="GAC"/>
        <s v="TRAILER"/>
        <s v="TATA DAEWOO"/>
        <s v="MITSUBISHI"/>
        <s v="HONDA ACCORD"/>
        <s v="TOYOTA HIACE - 14 SEATER"/>
        <s v="TOYOTA HIACE - Food van"/>
        <s v="FORKLIFT 3T Electric"/>
        <s v="JCB"/>
        <s v="CATERPILLAR DP70"/>
        <s v="HONDA CRV"/>
        <s v="TOYOTA LAND CRUISER"/>
        <s v="TOYOTA RUSH"/>
        <s v="TOYOTA LITE ACE - Food van"/>
        <s v="MITSUBISHI ROSA"/>
        <s v="Forklift "/>
      </sharedItems>
    </cacheField>
    <cacheField name="MODEL" numFmtId="0">
      <sharedItems containsMixedTypes="1" containsNumber="1" containsInteger="1" minValue="2006" maxValue="2026"/>
    </cacheField>
    <cacheField name="MULKIYA EXP DATE" numFmtId="14">
      <sharedItems containsSemiMixedTypes="0" containsNonDate="0" containsDate="1" containsString="0" minDate="2026-07-16T00:00:00" maxDate="2027-08-25T00:00:00"/>
    </cacheField>
    <cacheField name="VALID DAYS" numFmtId="0">
      <sharedItems containsSemiMixedTypes="0" containsString="0" containsNumber="1" containsInteger="1" minValue="-44" maxValue="360"/>
    </cacheField>
    <cacheField name="INSURANCE EXP DATE" numFmtId="0">
      <sharedItems containsSemiMixedTypes="0" containsNonDate="0" containsDate="1" containsString="0" minDate="2026-08-16T00:00:00" maxDate="2027-09-25T00:00:00"/>
    </cacheField>
    <cacheField name="VALID DAYS2" numFmtId="0">
      <sharedItems containsSemiMixedTypes="0" containsString="0" containsNumber="1" containsInteger="1" minValue="-13" maxValue="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inoth.D" refreshedDate="46302.578699768521" createdVersion="8" refreshedVersion="8" minRefreshableVersion="3" recordCount="84">
  <cacheSource type="worksheet">
    <worksheetSource ref="A1:H85" sheet="Noble star "/>
  </cacheSource>
  <cacheFields count="8">
    <cacheField name="S.NO" numFmtId="0">
      <sharedItems containsSemiMixedTypes="0" containsString="0" containsNumber="1" containsInteger="1" minValue="1" maxValue="84"/>
    </cacheField>
    <cacheField name="PLATE NO" numFmtId="0">
      <sharedItems/>
    </cacheField>
    <cacheField name="VEHICLE TYPE" numFmtId="0">
      <sharedItems count="8">
        <s v="ASHOK LEYLAND BUS"/>
        <s v="MERCEDES 2038"/>
        <s v="TATA"/>
        <s v="TOYOTA HILUX"/>
        <s v="TRAILER"/>
        <s v="TRAILER BOGIE"/>
        <s v="VOLVO"/>
        <s v="Nissan Sunny"/>
      </sharedItems>
    </cacheField>
    <cacheField name="MODEL" numFmtId="0">
      <sharedItems containsSemiMixedTypes="0" containsString="0" containsNumber="1" containsInteger="1" minValue="1993" maxValue="2026"/>
    </cacheField>
    <cacheField name="MULKIYA EXP DATE" numFmtId="164">
      <sharedItems containsSemiMixedTypes="0" containsNonDate="0" containsDate="1" containsString="0" minDate="2026-09-14T00:00:00" maxDate="2027-09-21T00:00:00"/>
    </cacheField>
    <cacheField name="VALID DAYS" numFmtId="0">
      <sharedItems containsSemiMixedTypes="0" containsString="0" containsNumber="1" containsInteger="1" minValue="-9" maxValue="362"/>
    </cacheField>
    <cacheField name="INSURANCE EXP DATE" numFmtId="164">
      <sharedItems containsSemiMixedTypes="0" containsNonDate="0" containsDate="1" containsString="0" minDate="2026-10-14T00:00:00" maxDate="2027-10-21T00:00:00"/>
    </cacheField>
    <cacheField name="VALID DAYS2" numFmtId="0">
      <sharedItems containsSemiMixedTypes="0" containsString="0" containsNumber="1" containsInteger="1" minValue="9" maxValue="3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inoth.D" refreshedDate="46302.578699999998" createdVersion="8" refreshedVersion="8" minRefreshableVersion="3" recordCount="10">
  <cacheSource type="worksheet">
    <worksheetSource ref="A1:H11" sheet="Managmenet Car "/>
  </cacheSource>
  <cacheFields count="8">
    <cacheField name="Sr No" numFmtId="0">
      <sharedItems containsSemiMixedTypes="0" containsString="0" containsNumber="1" containsInteger="1" minValue="1" maxValue="10"/>
    </cacheField>
    <cacheField name="Plate No." numFmtId="0">
      <sharedItems containsSemiMixedTypes="0" containsString="0" containsNumber="1" containsInteger="1" minValue="786" maxValue="78670"/>
    </cacheField>
    <cacheField name="Plate Category" numFmtId="0">
      <sharedItems/>
    </cacheField>
    <cacheField name="Vehicle Type" numFmtId="0">
      <sharedItems count="1">
        <s v="Car"/>
      </sharedItems>
    </cacheField>
    <cacheField name="Vehicle Kind" numFmtId="0">
      <sharedItems/>
    </cacheField>
    <cacheField name="Vehicle Color" numFmtId="0">
      <sharedItems/>
    </cacheField>
    <cacheField name="Registration Expiry Date" numFmtId="14">
      <sharedItems containsSemiMixedTypes="0" containsNonDate="0" containsDate="1" containsString="0" minDate="2026-09-28T00:00:00" maxDate="2027-09-22T00:00:00"/>
    </cacheField>
    <cacheField name="Insurance Expiry Date" numFmtId="14">
      <sharedItems containsSemiMixedTypes="0" containsNonDate="0" containsDate="1" containsString="0" minDate="2026-10-28T00:00:00" maxDate="2027-10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Vinoth.D" refreshedDate="46302.578699999998" createdVersion="8" refreshedVersion="8" minRefreshableVersion="3" recordCount="14">
  <cacheSource type="worksheet">
    <worksheetSource ref="A1:G15" sheet="Halima Pipe"/>
  </cacheSource>
  <cacheFields count="7">
    <cacheField name="S.NO" numFmtId="0">
      <sharedItems containsSemiMixedTypes="0" containsString="0" containsNumber="1" containsInteger="1" minValue="1" maxValue="14"/>
    </cacheField>
    <cacheField name="PLATE NO" numFmtId="0">
      <sharedItems containsMixedTypes="1" containsNumber="1" containsInteger="1" minValue="76661" maxValue="76661"/>
    </cacheField>
    <cacheField name="VEHICLE TYPE" numFmtId="0">
      <sharedItems count="10">
        <s v="TOYOTA HILUX"/>
        <s v="TOYOTA INNOVA"/>
        <s v="FORKLIFT"/>
        <s v="JCB"/>
        <s v="Nissan sunny "/>
        <s v="TOYOTA - RUSH"/>
        <s v="TOYOTA HIACE"/>
        <s v="Trailer "/>
        <s v="TATA DAEWOO"/>
        <s v="Nissan Kick "/>
      </sharedItems>
    </cacheField>
    <cacheField name="MODEL" numFmtId="0">
      <sharedItems containsSemiMixedTypes="0" containsString="0" containsNumber="1" containsInteger="1" minValue="2006" maxValue="2025"/>
    </cacheField>
    <cacheField name="MULKIYA EXP DATE" numFmtId="164">
      <sharedItems containsSemiMixedTypes="0" containsNonDate="0" containsDate="1" containsString="0" minDate="2026-08-18T00:00:00" maxDate="2027-07-23T00:00:00"/>
    </cacheField>
    <cacheField name="VALID DAYS" numFmtId="0">
      <sharedItems containsSemiMixedTypes="0" containsString="0" containsNumber="1" containsInteger="1" minValue="-50" maxValue="288"/>
    </cacheField>
    <cacheField name="INSURANCE EXP DATE" numFmtId="164">
      <sharedItems containsSemiMixedTypes="0" containsNonDate="0" containsDate="1" containsString="0" minDate="2026-09-18T00:00:00" maxDate="2027-08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Vinoth.D" refreshedDate="46302.57870046296" createdVersion="8" refreshedVersion="8" minRefreshableVersion="3" recordCount="1">
  <cacheSource type="worksheet">
    <worksheetSource ref="A1:F2" sheet="Ajmal Steel Br1"/>
  </cacheSource>
  <cacheFields count="6">
    <cacheField name="S.NO" numFmtId="0">
      <sharedItems containsSemiMixedTypes="0" containsString="0" containsNumber="1" containsInteger="1" minValue="1" maxValue="1"/>
    </cacheField>
    <cacheField name="PLATE NO" numFmtId="0">
      <sharedItems/>
    </cacheField>
    <cacheField name="VEHICLE TYPE" numFmtId="0">
      <sharedItems count="1">
        <s v="MITSUBISHI"/>
      </sharedItems>
    </cacheField>
    <cacheField name="MODEL" numFmtId="0">
      <sharedItems containsSemiMixedTypes="0" containsString="0" containsNumber="1" containsInteger="1" minValue="2015" maxValue="2015"/>
    </cacheField>
    <cacheField name="MULKIYA EXP DATE" numFmtId="164">
      <sharedItems containsSemiMixedTypes="0" containsNonDate="0" containsDate="1" containsString="0" minDate="2026-10-05T00:00:00" maxDate="2026-10-06T00:00:00"/>
    </cacheField>
    <cacheField name="V.DAYS" numFmtId="1">
      <sharedItems containsSemiMixedTypes="0" containsString="0" containsNumber="1" containsInteger="1" minValue="-2" maxValue="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Vinoth.D" refreshedDate="46302.578700578706" createdVersion="8" refreshedVersion="8" minRefreshableVersion="3" recordCount="6">
  <cacheSource type="worksheet">
    <worksheetSource ref="A1:H7" sheet="Geo Foundation"/>
  </cacheSource>
  <cacheFields count="8">
    <cacheField name="S.NO" numFmtId="0">
      <sharedItems containsSemiMixedTypes="0" containsString="0" containsNumber="1" containsInteger="1" minValue="1" maxValue="6"/>
    </cacheField>
    <cacheField name="PLATE NO" numFmtId="0">
      <sharedItems/>
    </cacheField>
    <cacheField name="VEHICLE TYPE" numFmtId="0">
      <sharedItems count="5">
        <s v="TATA 4534"/>
        <s v="FORKLIFT"/>
        <s v="TRAILER"/>
        <s v="VOLVO"/>
        <s v="MERCEDES 1726"/>
      </sharedItems>
    </cacheField>
    <cacheField name="MODEL" numFmtId="0">
      <sharedItems containsSemiMixedTypes="0" containsString="0" containsNumber="1" containsInteger="1" minValue="1989" maxValue="2025"/>
    </cacheField>
    <cacheField name="MULKIYA EXP DATE" numFmtId="0">
      <sharedItems containsSemiMixedTypes="0" containsNonDate="0" containsDate="1" containsString="0" minDate="2026-10-20T00:00:00" maxDate="2027-07-21T00:00:00"/>
    </cacheField>
    <cacheField name="VALID DAYS" numFmtId="0">
      <sharedItems containsSemiMixedTypes="0" containsString="0" containsNumber="1" containsInteger="1" minValue="13" maxValue="286"/>
    </cacheField>
    <cacheField name="INSURANCE EXP DATE" numFmtId="0">
      <sharedItems containsSemiMixedTypes="0" containsNonDate="0" containsDate="1" containsString="0" minDate="2026-11-20T00:00:00" maxDate="2027-08-21T00:00:00"/>
    </cacheField>
    <cacheField name="VALID DAYS2" numFmtId="0">
      <sharedItems containsSemiMixedTypes="0" containsString="0" containsNumber="1" containsInteger="1" minValue="44" maxValue="3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Vinoth.D" refreshedDate="46302.578700810183" createdVersion="8" refreshedVersion="8" minRefreshableVersion="3" recordCount="40">
  <cacheSource type="worksheet">
    <worksheetSource ref="A1:I41" sheet="Ayaana Cargo"/>
  </cacheSource>
  <cacheFields count="9">
    <cacheField name="S.NO" numFmtId="0">
      <sharedItems containsSemiMixedTypes="0" containsString="0" containsNumber="1" containsInteger="1" minValue="1" maxValue="40"/>
    </cacheField>
    <cacheField name="PLATE NO" numFmtId="0">
      <sharedItems containsSemiMixedTypes="0" containsString="0" containsNumber="1" containsInteger="1" minValue="7191" maxValue="90587"/>
    </cacheField>
    <cacheField name="VEHICLE TYPE" numFmtId="0">
      <sharedItems count="4">
        <s v="TRAILER"/>
        <s v="VOLVO"/>
        <s v="TATA"/>
        <s v="BOGIE"/>
      </sharedItems>
    </cacheField>
    <cacheField name="MODEL" numFmtId="0">
      <sharedItems containsString="0" containsBlank="1" containsNumber="1" containsInteger="1" minValue="1998" maxValue="2026"/>
    </cacheField>
    <cacheField name="MULKIYA EXP DATE" numFmtId="164">
      <sharedItems containsSemiMixedTypes="0" containsNonDate="0" containsDate="1" containsString="0" minDate="2026-09-28T00:00:00" maxDate="2027-09-26T00:00:00"/>
    </cacheField>
    <cacheField name="VALID DAYS" numFmtId="0">
      <sharedItems containsSemiMixedTypes="0" containsString="0" containsNumber="1" containsInteger="1" minValue="-9" maxValue="353"/>
    </cacheField>
    <cacheField name="INSURANCE EXP DATE" numFmtId="164">
      <sharedItems containsSemiMixedTypes="0" containsNonDate="0" containsDate="1" containsString="0" minDate="2026-10-28T00:00:00" maxDate="2027-10-26T00:00:00"/>
    </cacheField>
    <cacheField name="VALID DAYS2" numFmtId="0">
      <sharedItems containsSemiMixedTypes="0" containsString="0" containsNumber="1" containsInteger="1" minValue="21" maxValue="383"/>
    </cacheField>
    <cacheField name="REGD. 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Vinoth.D" refreshedDate="46302.578700925929" createdVersion="8" refreshedVersion="8" minRefreshableVersion="3" recordCount="7">
  <cacheSource type="worksheet">
    <worksheetSource ref="A1:F8" sheet="Emirates Engineering "/>
  </cacheSource>
  <cacheFields count="6">
    <cacheField name="S.NO" numFmtId="0">
      <sharedItems containsSemiMixedTypes="0" containsString="0" containsNumber="1" containsInteger="1" minValue="1" maxValue="7"/>
    </cacheField>
    <cacheField name="PLATE NO" numFmtId="0">
      <sharedItems/>
    </cacheField>
    <cacheField name="VEHICLE TYPE" numFmtId="0">
      <sharedItems count="2">
        <s v="Truck "/>
        <s v="Trailer "/>
      </sharedItems>
    </cacheField>
    <cacheField name="MODEL" numFmtId="0">
      <sharedItems containsSemiMixedTypes="0" containsString="0" containsNumber="1" containsInteger="1" minValue="2007" maxValue="2026"/>
    </cacheField>
    <cacheField name="MULKIYA EXP DATE" numFmtId="15">
      <sharedItems containsSemiMixedTypes="0" containsNonDate="0" containsDate="1" containsString="0" minDate="2027-06-28T00:00:00" maxDate="2027-09-25T00:00:00"/>
    </cacheField>
    <cacheField name="VALID DAYS" numFmtId="0">
      <sharedItems containsSemiMixedTypes="0" containsString="0" containsNumber="1" containsInteger="1" minValue="264" maxValue="3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Vinoth.D" refreshedDate="46302.578701157407" createdVersion="8" refreshedVersion="8" minRefreshableVersion="3" recordCount="20">
  <cacheSource type="worksheet">
    <worksheetSource name="Table2"/>
  </cacheSource>
  <cacheFields count="8">
    <cacheField name="S.NO" numFmtId="0">
      <sharedItems containsSemiMixedTypes="0" containsString="0" containsNumber="1" containsInteger="1" minValue="1" maxValue="21"/>
    </cacheField>
    <cacheField name="PLATE NO" numFmtId="0">
      <sharedItems/>
    </cacheField>
    <cacheField name="VEHICLE TYPE" numFmtId="0">
      <sharedItems count="12">
        <s v="CATERPILLAR"/>
        <s v="DAEWOO"/>
        <s v="FORKLIFT"/>
        <s v="JCB"/>
        <s v="MITSUBISH 34 seater"/>
        <s v="MITSUBISHI L200"/>
        <s v="NISSAN 10 TON (Scrap)"/>
        <s v="TATA 4534"/>
        <s v="TOYOTA CAMRY"/>
        <s v="TOYOTA HILUX"/>
        <s v="TRAILER"/>
        <s v="VOLVO"/>
      </sharedItems>
    </cacheField>
    <cacheField name="MODEL" numFmtId="0">
      <sharedItems containsSemiMixedTypes="0" containsString="0" containsNumber="1" containsInteger="1" minValue="1984" maxValue="2023"/>
    </cacheField>
    <cacheField name="MULKIYA EXP DATE" numFmtId="14">
      <sharedItems containsSemiMixedTypes="0" containsNonDate="0" containsDate="1" containsString="0" minDate="2025-12-17T00:00:00" maxDate="2027-09-27T00:00:00"/>
    </cacheField>
    <cacheField name="VALID DAYS" numFmtId="0">
      <sharedItems containsSemiMixedTypes="0" containsString="0" containsNumber="1" containsInteger="1" minValue="-266" maxValue="363"/>
    </cacheField>
    <cacheField name="INSURANCE EXP DATE" numFmtId="14">
      <sharedItems containsSemiMixedTypes="0" containsNonDate="0" containsDate="1" containsString="0" minDate="2026-01-17T00:00:00" maxDate="2027-10-16T00:00:00"/>
    </cacheField>
    <cacheField name="VALID DAYS2" numFmtId="0">
      <sharedItems containsSemiMixedTypes="0" containsString="0" containsNumber="1" containsInteger="1" minValue="-235" maxValue="3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1"/>
    <s v="21/59268"/>
    <x v="0"/>
    <n v="2025"/>
    <d v="2027-07-02T00:00:00"/>
    <n v="307"/>
    <d v="2027-08-02T00:00:00"/>
    <n v="338"/>
  </r>
  <r>
    <n v="2"/>
    <s v="21/59270"/>
    <x v="0"/>
    <n v="2025"/>
    <d v="2027-07-02T00:00:00"/>
    <n v="307"/>
    <d v="2027-08-02T00:00:00"/>
    <n v="338"/>
  </r>
  <r>
    <n v="3"/>
    <s v="21/59269"/>
    <x v="0"/>
    <n v="2025"/>
    <d v="2027-06-06T00:00:00"/>
    <n v="281"/>
    <d v="2027-07-06T00:00:00"/>
    <n v="311"/>
  </r>
  <r>
    <n v="4"/>
    <s v="20/97544"/>
    <x v="1"/>
    <n v="2024"/>
    <d v="2027-07-14T00:00:00"/>
    <n v="319"/>
    <d v="2027-08-14T00:00:00"/>
    <n v="350"/>
  </r>
  <r>
    <n v="5"/>
    <s v="16/17457"/>
    <x v="2"/>
    <n v="2025"/>
    <d v="2027-07-02T00:00:00"/>
    <n v="307"/>
    <d v="2027-08-02T00:00:00"/>
    <n v="338"/>
  </r>
  <r>
    <n v="6"/>
    <s v="16/17470"/>
    <x v="2"/>
    <n v="2025"/>
    <d v="2027-07-14T00:00:00"/>
    <n v="319"/>
    <d v="2027-08-14T00:00:00"/>
    <n v="350"/>
  </r>
  <r>
    <n v="7"/>
    <s v="11/79849"/>
    <x v="3"/>
    <n v="2013"/>
    <d v="2027-06-24T00:00:00"/>
    <n v="299"/>
    <d v="2027-07-24T00:00:00"/>
    <n v="329"/>
  </r>
  <r>
    <n v="8"/>
    <s v="13/52983"/>
    <x v="0"/>
    <n v="2019"/>
    <d v="2027-07-14T00:00:00"/>
    <n v="319"/>
    <d v="2027-08-14T00:00:00"/>
    <n v="350"/>
  </r>
  <r>
    <n v="9"/>
    <s v="17/43168"/>
    <x v="4"/>
    <s v="2009"/>
    <d v="2027-08-03T00:00:00"/>
    <n v="339"/>
    <d v="2027-09-03T00:00:00"/>
    <n v="370"/>
  </r>
  <r>
    <n v="10"/>
    <s v="11/44627"/>
    <x v="5"/>
    <n v="2015"/>
    <d v="2026-07-16T00:00:00"/>
    <n v="-44"/>
    <d v="2026-08-16T00:00:00"/>
    <n v="-13"/>
  </r>
  <r>
    <n v="11"/>
    <s v="16/45597"/>
    <x v="2"/>
    <n v="2019"/>
    <d v="2027-08-09T00:00:00"/>
    <n v="345"/>
    <d v="2027-09-09T00:00:00"/>
    <n v="376"/>
  </r>
  <r>
    <n v="12"/>
    <s v="21/36877"/>
    <x v="2"/>
    <n v="2025"/>
    <d v="2027-08-03T00:00:00"/>
    <n v="339"/>
    <d v="2027-09-03T00:00:00"/>
    <n v="370"/>
  </r>
  <r>
    <n v="13"/>
    <s v="16/37905"/>
    <x v="6"/>
    <n v="2019"/>
    <d v="2027-08-16T00:00:00"/>
    <n v="352"/>
    <d v="2027-09-16T00:00:00"/>
    <n v="383"/>
  </r>
  <r>
    <n v="14"/>
    <s v="18/78622"/>
    <x v="7"/>
    <n v="2026"/>
    <d v="2026-08-24T00:00:00"/>
    <n v="-5"/>
    <d v="2026-09-24T00:00:00"/>
    <n v="26"/>
  </r>
  <r>
    <n v="15"/>
    <s v="1/94997"/>
    <x v="8"/>
    <n v="2006"/>
    <d v="2026-08-25T00:00:00"/>
    <n v="-4"/>
    <d v="2026-09-25T00:00:00"/>
    <n v="27"/>
  </r>
  <r>
    <n v="16"/>
    <s v="11/60834"/>
    <x v="9"/>
    <n v="2009"/>
    <d v="2026-08-27T00:00:00"/>
    <n v="-2"/>
    <d v="2026-09-27T00:00:00"/>
    <n v="29"/>
  </r>
  <r>
    <n v="17"/>
    <s v="8/15197"/>
    <x v="10"/>
    <n v="2008"/>
    <d v="2026-09-02T00:00:00"/>
    <n v="4"/>
    <d v="2026-10-02T00:00:00"/>
    <n v="34"/>
  </r>
  <r>
    <n v="18"/>
    <s v="16/41472"/>
    <x v="2"/>
    <n v="2019"/>
    <d v="2026-09-09T00:00:00"/>
    <n v="11"/>
    <d v="2026-10-09T00:00:00"/>
    <n v="41"/>
  </r>
  <r>
    <n v="19"/>
    <s v="50/48763"/>
    <x v="4"/>
    <n v="2017"/>
    <d v="2026-09-28T00:00:00"/>
    <n v="30"/>
    <d v="2026-10-28T00:00:00"/>
    <n v="60"/>
  </r>
  <r>
    <n v="20"/>
    <s v="20/ 14815"/>
    <x v="11"/>
    <n v="2023"/>
    <d v="2026-10-02T00:00:00"/>
    <n v="34"/>
    <d v="2026-11-02T00:00:00"/>
    <n v="65"/>
  </r>
  <r>
    <n v="21"/>
    <s v="20/84391"/>
    <x v="0"/>
    <n v="2024"/>
    <d v="2026-10-02T00:00:00"/>
    <n v="34"/>
    <d v="2026-11-02T00:00:00"/>
    <n v="65"/>
  </r>
  <r>
    <n v="22"/>
    <s v="14/34627"/>
    <x v="4"/>
    <n v="2018"/>
    <d v="2026-10-07T00:00:00"/>
    <n v="39"/>
    <d v="2026-11-07T00:00:00"/>
    <n v="70"/>
  </r>
  <r>
    <n v="23"/>
    <s v="22/81369"/>
    <x v="2"/>
    <n v="2025"/>
    <d v="2026-10-20T00:00:00"/>
    <n v="52"/>
    <d v="2026-11-20T00:00:00"/>
    <n v="83"/>
  </r>
  <r>
    <n v="24"/>
    <s v="22/81370"/>
    <x v="2"/>
    <n v="2025"/>
    <d v="2026-10-20T00:00:00"/>
    <n v="52"/>
    <d v="2026-11-20T00:00:00"/>
    <n v="83"/>
  </r>
  <r>
    <n v="25"/>
    <s v="13/44951"/>
    <x v="12"/>
    <n v="2018"/>
    <d v="2026-10-22T00:00:00"/>
    <n v="54"/>
    <d v="2026-11-22T00:00:00"/>
    <n v="85"/>
  </r>
  <r>
    <n v="26"/>
    <s v="8/10768"/>
    <x v="9"/>
    <n v="2009"/>
    <d v="2026-10-28T00:00:00"/>
    <n v="60"/>
    <d v="2026-11-28T00:00:00"/>
    <n v="91"/>
  </r>
  <r>
    <n v="27"/>
    <s v="1/93540"/>
    <x v="8"/>
    <n v="2006"/>
    <d v="2026-10-28T00:00:00"/>
    <n v="60"/>
    <d v="2026-11-28T00:00:00"/>
    <n v="91"/>
  </r>
  <r>
    <n v="28"/>
    <s v="10/74259"/>
    <x v="13"/>
    <n v="2021"/>
    <d v="2026-10-28T00:00:00"/>
    <n v="60"/>
    <d v="2026-11-28T00:00:00"/>
    <n v="91"/>
  </r>
  <r>
    <n v="29"/>
    <s v="12/53622"/>
    <x v="14"/>
    <n v="2024"/>
    <d v="2026-10-28T00:00:00"/>
    <n v="60"/>
    <d v="2026-11-28T00:00:00"/>
    <n v="91"/>
  </r>
  <r>
    <n v="30"/>
    <s v="7/23364"/>
    <x v="15"/>
    <n v="2008"/>
    <d v="2026-11-05T00:00:00"/>
    <n v="68"/>
    <d v="2026-12-05T00:00:00"/>
    <n v="98"/>
  </r>
  <r>
    <n v="31"/>
    <s v="22/85560"/>
    <x v="16"/>
    <n v="2026"/>
    <d v="2026-11-23T00:00:00"/>
    <n v="86"/>
    <d v="2026-12-23T00:00:00"/>
    <n v="116"/>
  </r>
  <r>
    <n v="32"/>
    <s v="12/86928"/>
    <x v="13"/>
    <n v="2025"/>
    <d v="2026-11-28T00:00:00"/>
    <n v="91"/>
    <d v="2026-12-28T00:00:00"/>
    <n v="121"/>
  </r>
  <r>
    <n v="33"/>
    <s v="13/51350"/>
    <x v="0"/>
    <n v="2019"/>
    <d v="2026-12-23T00:00:00"/>
    <n v="116"/>
    <d v="2027-01-23T00:00:00"/>
    <n v="147"/>
  </r>
  <r>
    <n v="34"/>
    <s v="15/23374"/>
    <x v="0"/>
    <n v="2025"/>
    <d v="2026-12-24T00:00:00"/>
    <n v="117"/>
    <d v="2027-01-24T00:00:00"/>
    <n v="148"/>
  </r>
  <r>
    <n v="35"/>
    <s v="22/45156"/>
    <x v="16"/>
    <n v="2026"/>
    <d v="2026-12-24T00:00:00"/>
    <n v="117"/>
    <d v="2027-01-24T00:00:00"/>
    <n v="148"/>
  </r>
  <r>
    <n v="36"/>
    <s v="15/23379"/>
    <x v="0"/>
    <n v="2025"/>
    <d v="2026-12-28T00:00:00"/>
    <n v="121"/>
    <d v="2027-01-28T00:00:00"/>
    <n v="152"/>
  </r>
  <r>
    <n v="37"/>
    <s v="7/98029"/>
    <x v="17"/>
    <n v="2014"/>
    <d v="2027-01-20T00:00:00"/>
    <n v="144"/>
    <d v="2027-02-20T00:00:00"/>
    <n v="175"/>
  </r>
  <r>
    <n v="38"/>
    <s v="50/17743"/>
    <x v="18"/>
    <n v="2022"/>
    <d v="2027-01-27T00:00:00"/>
    <n v="151"/>
    <d v="2027-02-27T00:00:00"/>
    <n v="182"/>
  </r>
  <r>
    <n v="39"/>
    <s v="50/19148"/>
    <x v="19"/>
    <n v="2023"/>
    <d v="2027-01-27T00:00:00"/>
    <n v="151"/>
    <d v="2027-02-27T00:00:00"/>
    <n v="182"/>
  </r>
  <r>
    <n v="40"/>
    <s v="19/30913"/>
    <x v="20"/>
    <n v="2023"/>
    <d v="2027-01-27T00:00:00"/>
    <n v="151"/>
    <d v="2027-02-27T00:00:00"/>
    <n v="182"/>
  </r>
  <r>
    <n v="41"/>
    <s v="21/86231"/>
    <x v="12"/>
    <s v="2026"/>
    <d v="2027-02-01T00:00:00"/>
    <n v="156"/>
    <d v="2027-03-01T00:00:00"/>
    <n v="184"/>
  </r>
  <r>
    <n v="42"/>
    <s v="18/32409"/>
    <x v="4"/>
    <n v="2016"/>
    <d v="2027-02-09T00:00:00"/>
    <n v="164"/>
    <d v="2027-03-09T00:00:00"/>
    <n v="192"/>
  </r>
  <r>
    <n v="43"/>
    <s v="20/15977"/>
    <x v="1"/>
    <n v="2024"/>
    <d v="2027-02-12T00:00:00"/>
    <n v="167"/>
    <d v="2027-03-12T00:00:00"/>
    <n v="195"/>
  </r>
  <r>
    <n v="44"/>
    <s v="14/63694"/>
    <x v="16"/>
    <n v="2026"/>
    <d v="2027-02-23T00:00:00"/>
    <n v="178"/>
    <d v="2027-03-23T00:00:00"/>
    <n v="206"/>
  </r>
  <r>
    <n v="45"/>
    <s v="14/63055"/>
    <x v="16"/>
    <n v="2026"/>
    <d v="2027-02-23T00:00:00"/>
    <n v="178"/>
    <d v="2027-03-23T00:00:00"/>
    <n v="206"/>
  </r>
  <r>
    <n v="46"/>
    <s v="12/61439"/>
    <x v="16"/>
    <n v="2026"/>
    <d v="2027-02-23T00:00:00"/>
    <n v="178"/>
    <d v="2027-03-23T00:00:00"/>
    <n v="206"/>
  </r>
  <r>
    <n v="47"/>
    <s v="15/70635"/>
    <x v="0"/>
    <n v="2025"/>
    <d v="2027-03-11T00:00:00"/>
    <n v="194"/>
    <d v="2027-04-11T00:00:00"/>
    <n v="225"/>
  </r>
  <r>
    <n v="48"/>
    <s v="14/73285"/>
    <x v="21"/>
    <n v="2025"/>
    <d v="2027-04-06T00:00:00"/>
    <n v="220"/>
    <d v="2027-05-06T00:00:00"/>
    <n v="250"/>
  </r>
  <r>
    <n v="49"/>
    <s v="19/46245"/>
    <x v="0"/>
    <n v="2024"/>
    <d v="2027-05-04T00:00:00"/>
    <n v="248"/>
    <d v="2027-06-04T00:00:00"/>
    <n v="279"/>
  </r>
  <r>
    <n v="50"/>
    <s v="19/46101"/>
    <x v="0"/>
    <n v="2023"/>
    <d v="2027-05-14T00:00:00"/>
    <n v="258"/>
    <d v="2027-05-14T00:00:00"/>
    <n v="258"/>
  </r>
  <r>
    <n v="51"/>
    <s v="10/48817"/>
    <x v="2"/>
    <n v="2024"/>
    <d v="2027-05-12T00:00:00"/>
    <n v="256"/>
    <d v="2027-06-12T00:00:00"/>
    <n v="287"/>
  </r>
  <r>
    <n v="52"/>
    <s v="22/58892"/>
    <x v="22"/>
    <n v="2025"/>
    <d v="2026-12-24T00:00:00"/>
    <n v="117"/>
    <d v="2027-01-24T00:00:00"/>
    <n v="148"/>
  </r>
  <r>
    <n v="53"/>
    <s v="22/58893"/>
    <x v="22"/>
    <n v="2025"/>
    <d v="2026-12-24T00:00:00"/>
    <n v="117"/>
    <d v="2027-01-24T00:00:00"/>
    <n v="148"/>
  </r>
  <r>
    <n v="54"/>
    <s v="20/74639"/>
    <x v="22"/>
    <n v="2025"/>
    <d v="2026-12-24T00:00:00"/>
    <n v="117"/>
    <d v="2027-01-25T00:00:00"/>
    <n v="207"/>
  </r>
  <r>
    <n v="55"/>
    <s v="23/ 52327"/>
    <x v="1"/>
    <n v="2026"/>
    <d v="2027-08-24T00:00:00"/>
    <n v="360"/>
    <d v="2027-09-24T00:00:00"/>
    <n v="391"/>
  </r>
  <r>
    <n v="56"/>
    <s v="23/ 52329"/>
    <x v="1"/>
    <n v="2026"/>
    <d v="2027-08-24T00:00:00"/>
    <n v="360"/>
    <d v="2027-09-24T00:00:00"/>
    <n v="3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1"/>
    <s v="2/35023"/>
    <x v="0"/>
    <n v="2016"/>
    <d v="2027-06-03T00:00:00"/>
    <n v="301"/>
    <d v="2027-07-03T00:00:00"/>
    <n v="331"/>
  </r>
  <r>
    <n v="2"/>
    <s v="1/65950"/>
    <x v="0"/>
    <n v="2016"/>
    <d v="2027-06-08T00:00:00"/>
    <n v="306"/>
    <d v="2027-07-08T00:00:00"/>
    <n v="336"/>
  </r>
  <r>
    <n v="3"/>
    <s v="1/56966"/>
    <x v="1"/>
    <n v="1993"/>
    <d v="2027-02-09T00:00:00"/>
    <n v="187"/>
    <d v="2027-03-09T00:00:00"/>
    <n v="215"/>
  </r>
  <r>
    <n v="4"/>
    <s v="2/75268"/>
    <x v="2"/>
    <n v="2008"/>
    <d v="2026-09-21T00:00:00"/>
    <n v="46"/>
    <d v="2026-10-21T00:00:00"/>
    <n v="76"/>
  </r>
  <r>
    <n v="5"/>
    <s v="2/75356"/>
    <x v="2"/>
    <n v="2008"/>
    <d v="2026-10-15T00:00:00"/>
    <n v="70"/>
    <d v="2026-11-15T00:00:00"/>
    <n v="101"/>
  </r>
  <r>
    <n v="6"/>
    <s v="2/65142"/>
    <x v="3"/>
    <n v="2018"/>
    <d v="2027-09-20T00:00:00"/>
    <n v="33"/>
    <d v="2027-10-20T00:00:00"/>
    <n v="63"/>
  </r>
  <r>
    <n v="7"/>
    <s v="1/64929"/>
    <x v="4"/>
    <n v="2025"/>
    <d v="2027-06-03T00:00:00"/>
    <n v="301"/>
    <d v="2027-07-03T00:00:00"/>
    <n v="331"/>
  </r>
  <r>
    <n v="8"/>
    <s v="1/64831"/>
    <x v="4"/>
    <n v="2025"/>
    <d v="2027-07-06T00:00:00"/>
    <n v="334"/>
    <d v="2027-07-06T00:00:00"/>
    <n v="334"/>
  </r>
  <r>
    <n v="9"/>
    <s v="1/82106"/>
    <x v="4"/>
    <n v="2020"/>
    <d v="2027-06-10T00:00:00"/>
    <n v="308"/>
    <d v="2027-07-10T00:00:00"/>
    <n v="338"/>
  </r>
  <r>
    <n v="10"/>
    <s v="1/64734"/>
    <x v="4"/>
    <n v="2025"/>
    <d v="2027-06-28T00:00:00"/>
    <n v="326"/>
    <d v="2027-07-28T00:00:00"/>
    <n v="356"/>
  </r>
  <r>
    <n v="11"/>
    <s v="1/64732"/>
    <x v="4"/>
    <n v="2025"/>
    <d v="2027-06-28T00:00:00"/>
    <n v="326"/>
    <d v="2027-07-28T00:00:00"/>
    <n v="356"/>
  </r>
  <r>
    <n v="12"/>
    <s v="1/64193"/>
    <x v="4"/>
    <n v="2025"/>
    <d v="2027-07-21T00:00:00"/>
    <n v="349"/>
    <d v="2027-08-21T00:00:00"/>
    <n v="380"/>
  </r>
  <r>
    <n v="13"/>
    <s v="1/91765"/>
    <x v="4"/>
    <n v="2018"/>
    <d v="2027-08-03T00:00:00"/>
    <n v="362"/>
    <d v="2027-09-03T00:00:00"/>
    <n v="393"/>
  </r>
  <r>
    <n v="14"/>
    <s v="1/63644"/>
    <x v="4"/>
    <n v="2025"/>
    <d v="2027-08-09T00:00:00"/>
    <n v="0"/>
    <d v="2027-09-09T00:00:00"/>
    <n v="31"/>
  </r>
  <r>
    <n v="15"/>
    <s v="1/63275"/>
    <x v="4"/>
    <n v="2025"/>
    <d v="2027-08-11T00:00:00"/>
    <n v="4"/>
    <d v="2027-09-11T00:00:00"/>
    <n v="35"/>
  </r>
  <r>
    <n v="16"/>
    <s v="1/63379"/>
    <x v="4"/>
    <n v="2025"/>
    <d v="2027-08-11T00:00:00"/>
    <n v="5"/>
    <d v="2027-09-11T00:00:00"/>
    <n v="36"/>
  </r>
  <r>
    <n v="17"/>
    <s v="1/62986"/>
    <x v="4"/>
    <n v="2025"/>
    <d v="2027-09-07T00:00:00"/>
    <n v="32"/>
    <d v="2027-10-07T00:00:00"/>
    <n v="62"/>
  </r>
  <r>
    <n v="18"/>
    <s v="1/62946"/>
    <x v="4"/>
    <n v="2025"/>
    <d v="2027-09-07T00:00:00"/>
    <n v="33"/>
    <d v="2027-10-07T00:00:00"/>
    <n v="63"/>
  </r>
  <r>
    <n v="19"/>
    <s v="1/94151"/>
    <x v="4"/>
    <n v="2006"/>
    <d v="2026-09-21T00:00:00"/>
    <n v="46"/>
    <d v="2026-10-21T00:00:00"/>
    <n v="76"/>
  </r>
  <r>
    <n v="20"/>
    <s v="1/94153"/>
    <x v="4"/>
    <n v="2006"/>
    <d v="2026-10-15T00:00:00"/>
    <n v="70"/>
    <d v="2026-11-15T00:00:00"/>
    <n v="101"/>
  </r>
  <r>
    <n v="21"/>
    <s v="1/73373"/>
    <x v="4"/>
    <n v="2023"/>
    <d v="2026-11-11T00:00:00"/>
    <n v="97"/>
    <d v="2026-12-11T00:00:00"/>
    <n v="127"/>
  </r>
  <r>
    <n v="22"/>
    <s v="1/61637"/>
    <x v="4"/>
    <n v="2025"/>
    <d v="2026-11-12T00:00:00"/>
    <n v="98"/>
    <d v="2026-12-12T00:00:00"/>
    <n v="128"/>
  </r>
  <r>
    <n v="23"/>
    <s v="1/68408"/>
    <x v="4"/>
    <n v="2024"/>
    <d v="2026-11-18T00:00:00"/>
    <n v="104"/>
    <d v="2026-12-18T00:00:00"/>
    <n v="134"/>
  </r>
  <r>
    <n v="24"/>
    <s v="1/68327"/>
    <x v="4"/>
    <n v="2024"/>
    <d v="2026-11-26T00:00:00"/>
    <n v="112"/>
    <d v="2026-12-26T00:00:00"/>
    <n v="142"/>
  </r>
  <r>
    <n v="25"/>
    <s v="1/60667"/>
    <x v="4"/>
    <n v="2025"/>
    <d v="2026-12-04T00:00:00"/>
    <n v="120"/>
    <d v="2027-01-04T00:00:00"/>
    <n v="151"/>
  </r>
  <r>
    <n v="26"/>
    <s v="1/60665"/>
    <x v="4"/>
    <n v="2025"/>
    <d v="2026-12-07T00:00:00"/>
    <n v="123"/>
    <d v="2027-01-07T00:00:00"/>
    <n v="154"/>
  </r>
  <r>
    <n v="27"/>
    <s v="1/73109"/>
    <x v="4"/>
    <n v="2022"/>
    <d v="2026-12-09T00:00:00"/>
    <n v="125"/>
    <d v="2027-01-09T00:00:00"/>
    <n v="156"/>
  </r>
  <r>
    <n v="28"/>
    <s v="1/60455"/>
    <x v="4"/>
    <n v="2025"/>
    <d v="2026-12-16T00:00:00"/>
    <n v="132"/>
    <d v="2027-01-16T00:00:00"/>
    <n v="163"/>
  </r>
  <r>
    <n v="29"/>
    <s v="1/72262"/>
    <x v="4"/>
    <n v="2023"/>
    <d v="2026-12-21T00:00:00"/>
    <n v="137"/>
    <d v="2027-01-21T00:00:00"/>
    <n v="168"/>
  </r>
  <r>
    <n v="30"/>
    <s v="1/67808"/>
    <x v="4"/>
    <n v="2025"/>
    <d v="2027-01-18T00:00:00"/>
    <n v="165"/>
    <d v="2027-02-18T00:00:00"/>
    <n v="196"/>
  </r>
  <r>
    <n v="31"/>
    <s v="1/67807"/>
    <x v="4"/>
    <n v="2024"/>
    <d v="2027-02-09T00:00:00"/>
    <n v="187"/>
    <d v="2027-03-09T00:00:00"/>
    <n v="215"/>
  </r>
  <r>
    <n v="32"/>
    <s v="1/65549"/>
    <x v="4"/>
    <n v="2025"/>
    <d v="2027-03-29T00:00:00"/>
    <n v="235"/>
    <d v="2027-04-29T00:00:00"/>
    <n v="266"/>
  </r>
  <r>
    <n v="33"/>
    <s v="1/65473"/>
    <x v="4"/>
    <n v="2025"/>
    <d v="2027-04-07T00:00:00"/>
    <n v="244"/>
    <d v="2027-05-07T00:00:00"/>
    <n v="274"/>
  </r>
  <r>
    <n v="34"/>
    <s v="1/57562"/>
    <x v="4"/>
    <n v="2026"/>
    <d v="2027-04-23T00:00:00"/>
    <n v="260"/>
    <d v="2027-05-23T00:00:00"/>
    <n v="290"/>
  </r>
  <r>
    <n v="35"/>
    <s v="1/57563"/>
    <x v="4"/>
    <n v="2026"/>
    <d v="2027-04-23T00:00:00"/>
    <n v="260"/>
    <d v="2027-05-23T00:00:00"/>
    <n v="290"/>
  </r>
  <r>
    <n v="36"/>
    <s v="1/57564"/>
    <x v="4"/>
    <n v="2026"/>
    <d v="2027-04-23T00:00:00"/>
    <n v="260"/>
    <d v="2027-05-23T00:00:00"/>
    <n v="290"/>
  </r>
  <r>
    <n v="37"/>
    <s v="1/65475"/>
    <x v="4"/>
    <n v="2025"/>
    <d v="2027-05-03T00:00:00"/>
    <n v="270"/>
    <d v="2027-06-03T00:00:00"/>
    <n v="301"/>
  </r>
  <r>
    <n v="38"/>
    <s v="1/65551"/>
    <x v="4"/>
    <n v="2025"/>
    <d v="2027-05-13T00:00:00"/>
    <n v="280"/>
    <d v="2027-06-13T00:00:00"/>
    <n v="311"/>
  </r>
  <r>
    <n v="39"/>
    <s v="1/56954"/>
    <x v="4"/>
    <n v="2026"/>
    <d v="2027-06-03T00:00:00"/>
    <n v="301"/>
    <d v="2027-07-03T00:00:00"/>
    <n v="331"/>
  </r>
  <r>
    <n v="40"/>
    <s v="1/64928"/>
    <x v="4"/>
    <n v="2025"/>
    <d v="2027-06-04T00:00:00"/>
    <n v="302"/>
    <d v="2027-07-04T00:00:00"/>
    <n v="332"/>
  </r>
  <r>
    <n v="41"/>
    <s v="1/91836"/>
    <x v="4"/>
    <n v="2018"/>
    <d v="2027-06-10T00:00:00"/>
    <n v="308"/>
    <d v="2027-07-10T00:00:00"/>
    <n v="338"/>
  </r>
  <r>
    <n v="42"/>
    <s v="1/88812"/>
    <x v="4"/>
    <n v="2009"/>
    <d v="2027-06-10T00:00:00"/>
    <n v="308"/>
    <d v="2027-07-10T00:00:00"/>
    <n v="338"/>
  </r>
  <r>
    <n v="43"/>
    <s v="1/69883"/>
    <x v="4"/>
    <n v="2025"/>
    <d v="2027-09-13T00:00:00"/>
    <n v="39"/>
    <d v="2027-10-13T00:00:00"/>
    <n v="69"/>
  </r>
  <r>
    <n v="44"/>
    <s v="1/69882"/>
    <x v="4"/>
    <n v="2025"/>
    <d v="2027-09-13T00:00:00"/>
    <n v="39"/>
    <d v="2027-10-14T00:00:00"/>
    <n v="9"/>
  </r>
  <r>
    <n v="45"/>
    <s v="1/58759"/>
    <x v="4"/>
    <n v="2025"/>
    <d v="2027-02-23T00:00:00"/>
    <n v="201"/>
    <d v="2027-03-23T00:00:00"/>
    <n v="229"/>
  </r>
  <r>
    <n v="46"/>
    <s v="1/57507"/>
    <x v="4"/>
    <n v="2025"/>
    <d v="2027-05-06T00:00:00"/>
    <n v="273"/>
    <d v="2027-06-06T00:00:00"/>
    <n v="304"/>
  </r>
  <r>
    <n v="47"/>
    <s v="1/59438"/>
    <x v="5"/>
    <n v="2024"/>
    <d v="2027-01-18T00:00:00"/>
    <n v="165"/>
    <d v="2027-02-18T00:00:00"/>
    <n v="196"/>
  </r>
  <r>
    <n v="48"/>
    <s v="1/59263"/>
    <x v="5"/>
    <n v="2023"/>
    <d v="2027-01-19T00:00:00"/>
    <n v="166"/>
    <d v="2027-02-19T00:00:00"/>
    <n v="197"/>
  </r>
  <r>
    <n v="49"/>
    <s v="1/78948"/>
    <x v="6"/>
    <n v="2005"/>
    <d v="2027-06-09T00:00:00"/>
    <n v="307"/>
    <d v="2027-07-09T00:00:00"/>
    <n v="337"/>
  </r>
  <r>
    <n v="50"/>
    <s v="2/35059"/>
    <x v="6"/>
    <n v="2012"/>
    <d v="2027-06-21T00:00:00"/>
    <n v="319"/>
    <d v="2027-07-21T00:00:00"/>
    <n v="349"/>
  </r>
  <r>
    <n v="51"/>
    <s v="1/85602"/>
    <x v="6"/>
    <n v="2008"/>
    <d v="2027-06-28T00:00:00"/>
    <n v="326"/>
    <d v="2027-07-28T00:00:00"/>
    <n v="356"/>
  </r>
  <r>
    <n v="52"/>
    <s v="2/33265"/>
    <x v="6"/>
    <n v="2012"/>
    <d v="2027-06-28T00:00:00"/>
    <n v="326"/>
    <d v="2027-07-28T00:00:00"/>
    <n v="356"/>
  </r>
  <r>
    <n v="53"/>
    <s v="2/31872"/>
    <x v="6"/>
    <n v="2015"/>
    <d v="2027-07-20T00:00:00"/>
    <n v="348"/>
    <d v="2027-08-17T00:00:00"/>
    <n v="376"/>
  </r>
  <r>
    <n v="54"/>
    <s v="2/67926"/>
    <x v="6"/>
    <n v="2005"/>
    <d v="2027-08-03T00:00:00"/>
    <n v="362"/>
    <d v="2027-08-03T00:00:00"/>
    <n v="362"/>
  </r>
  <r>
    <n v="55"/>
    <s v="1/67399"/>
    <x v="6"/>
    <n v="2012"/>
    <d v="2027-08-09T00:00:00"/>
    <n v="-9"/>
    <d v="2027-09-09T00:00:00"/>
    <n v="22"/>
  </r>
  <r>
    <n v="56"/>
    <s v="1/30064"/>
    <x v="6"/>
    <n v="2013"/>
    <d v="2027-08-18T00:00:00"/>
    <n v="-6"/>
    <d v="2027-09-18T00:00:00"/>
    <n v="25"/>
  </r>
  <r>
    <n v="57"/>
    <s v="1/86665"/>
    <x v="6"/>
    <n v="2000"/>
    <d v="2027-08-26T00:00:00"/>
    <n v="8"/>
    <d v="2027-09-26T00:00:00"/>
    <n v="39"/>
  </r>
  <r>
    <n v="58"/>
    <s v="2/29865"/>
    <x v="6"/>
    <n v="2013"/>
    <d v="2027-09-10T00:00:00"/>
    <n v="25"/>
    <d v="2027-10-10T00:00:00"/>
    <n v="55"/>
  </r>
  <r>
    <n v="59"/>
    <s v="2/48566"/>
    <x v="6"/>
    <n v="2017"/>
    <d v="2026-09-14T00:00:00"/>
    <n v="39"/>
    <d v="2026-10-14T00:00:00"/>
    <n v="69"/>
  </r>
  <r>
    <n v="60"/>
    <s v="2/59633"/>
    <x v="6"/>
    <n v="2017"/>
    <d v="2027-09-13T00:00:00"/>
    <n v="39"/>
    <d v="2027-10-13T00:00:00"/>
    <n v="69"/>
  </r>
  <r>
    <n v="61"/>
    <s v="1/28178"/>
    <x v="6"/>
    <n v="2008"/>
    <d v="2027-09-20T00:00:00"/>
    <n v="41"/>
    <d v="2027-10-20T00:00:00"/>
    <n v="74"/>
  </r>
  <r>
    <n v="62"/>
    <s v="1/27294"/>
    <x v="6"/>
    <n v="2011"/>
    <d v="2026-09-22T00:00:00"/>
    <n v="47"/>
    <d v="2026-10-22T00:00:00"/>
    <n v="77"/>
  </r>
  <r>
    <n v="63"/>
    <s v="1/25520"/>
    <x v="6"/>
    <n v="2011"/>
    <d v="2026-10-21T00:00:00"/>
    <n v="76"/>
    <d v="2026-11-21T00:00:00"/>
    <n v="107"/>
  </r>
  <r>
    <n v="64"/>
    <s v="1/24725"/>
    <x v="6"/>
    <n v="2011"/>
    <d v="2026-11-13T00:00:00"/>
    <n v="99"/>
    <d v="2026-12-13T00:00:00"/>
    <n v="129"/>
  </r>
  <r>
    <n v="65"/>
    <s v="2/57913"/>
    <x v="6"/>
    <n v="2013"/>
    <d v="2026-11-24T00:00:00"/>
    <n v="110"/>
    <d v="2026-12-24T00:00:00"/>
    <n v="140"/>
  </r>
  <r>
    <n v="66"/>
    <s v="1/42669"/>
    <x v="6"/>
    <n v="2017"/>
    <d v="2026-11-26T00:00:00"/>
    <n v="112"/>
    <d v="2026-12-26T00:00:00"/>
    <n v="142"/>
  </r>
  <r>
    <n v="67"/>
    <s v="2/57027"/>
    <x v="6"/>
    <n v="2016"/>
    <d v="2026-12-09T00:00:00"/>
    <n v="125"/>
    <d v="2027-01-09T00:00:00"/>
    <n v="156"/>
  </r>
  <r>
    <n v="68"/>
    <s v="1/58617"/>
    <x v="6"/>
    <n v="2016"/>
    <d v="2026-12-21T00:00:00"/>
    <n v="137"/>
    <d v="2027-01-21T00:00:00"/>
    <n v="168"/>
  </r>
  <r>
    <n v="69"/>
    <s v="1/56444"/>
    <x v="6"/>
    <n v="2006"/>
    <d v="2027-01-26T00:00:00"/>
    <n v="173"/>
    <d v="2027-02-26T00:00:00"/>
    <n v="204"/>
  </r>
  <r>
    <n v="70"/>
    <s v="2/22607"/>
    <x v="6"/>
    <n v="2011"/>
    <d v="2027-02-01T00:00:00"/>
    <n v="179"/>
    <d v="2027-03-01T00:00:00"/>
    <n v="207"/>
  </r>
  <r>
    <n v="71"/>
    <s v="2/39645"/>
    <x v="6"/>
    <n v="2015"/>
    <d v="2027-02-10T00:00:00"/>
    <n v="188"/>
    <d v="2027-03-10T00:00:00"/>
    <n v="216"/>
  </r>
  <r>
    <n v="72"/>
    <s v="2/39643"/>
    <x v="6"/>
    <n v="2016"/>
    <d v="2027-02-19T00:00:00"/>
    <n v="197"/>
    <d v="2027-03-19T00:00:00"/>
    <n v="225"/>
  </r>
  <r>
    <n v="73"/>
    <s v="1/17682"/>
    <x v="6"/>
    <n v="2013"/>
    <d v="2027-03-22T00:00:00"/>
    <n v="228"/>
    <d v="2027-04-22T00:00:00"/>
    <n v="259"/>
  </r>
  <r>
    <n v="74"/>
    <s v="1/17680"/>
    <x v="6"/>
    <n v="2013"/>
    <d v="2027-03-24T00:00:00"/>
    <n v="230"/>
    <d v="2027-04-24T00:00:00"/>
    <n v="261"/>
  </r>
  <r>
    <n v="75"/>
    <s v="1/40035"/>
    <x v="6"/>
    <n v="2012"/>
    <d v="2027-03-29T00:00:00"/>
    <n v="235"/>
    <d v="2027-04-29T00:00:00"/>
    <n v="266"/>
  </r>
  <r>
    <n v="76"/>
    <s v="2/39713"/>
    <x v="6"/>
    <n v="2013"/>
    <d v="2027-04-07T00:00:00"/>
    <n v="244"/>
    <d v="2027-05-07T00:00:00"/>
    <n v="274"/>
  </r>
  <r>
    <n v="77"/>
    <s v="2/19185"/>
    <x v="6"/>
    <n v="2013"/>
    <d v="2027-04-23T00:00:00"/>
    <n v="260"/>
    <d v="2027-05-23T00:00:00"/>
    <n v="290"/>
  </r>
  <r>
    <n v="78"/>
    <s v="2/19181"/>
    <x v="6"/>
    <n v="2007"/>
    <d v="2027-04-26T00:00:00"/>
    <n v="263"/>
    <d v="2027-05-26T00:00:00"/>
    <n v="293"/>
  </r>
  <r>
    <n v="79"/>
    <s v="1/35099"/>
    <x v="6"/>
    <n v="2012"/>
    <d v="2027-05-03T00:00:00"/>
    <n v="270"/>
    <d v="2027-06-03T00:00:00"/>
    <n v="301"/>
  </r>
  <r>
    <n v="80"/>
    <s v="2/35804"/>
    <x v="6"/>
    <n v="2012"/>
    <d v="2027-05-13T00:00:00"/>
    <n v="280"/>
    <d v="2027-06-13T00:00:00"/>
    <n v="311"/>
  </r>
  <r>
    <n v="81"/>
    <s v="2/57840"/>
    <x v="6"/>
    <n v="2011"/>
    <d v="2027-06-03T00:00:00"/>
    <n v="301"/>
    <d v="2027-07-03T00:00:00"/>
    <n v="331"/>
  </r>
  <r>
    <n v="82"/>
    <s v="1/16309"/>
    <x v="6"/>
    <n v="2013"/>
    <d v="2027-06-10T00:00:00"/>
    <n v="308"/>
    <d v="2027-07-10T00:00:00"/>
    <n v="338"/>
  </r>
  <r>
    <n v="83"/>
    <s v="1/16310"/>
    <x v="6"/>
    <n v="2013"/>
    <d v="2027-06-10T00:00:00"/>
    <n v="308"/>
    <d v="2027-07-10T00:00:00"/>
    <n v="338"/>
  </r>
  <r>
    <n v="84"/>
    <s v="22/94620"/>
    <x v="7"/>
    <n v="2025"/>
    <d v="2027-07-18T00:00:00"/>
    <n v="346"/>
    <d v="2027-08-18T00:00:00"/>
    <n v="3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n v="7866"/>
    <s v="ABU DHABI, TENTH CATEGORY, PRIVATE"/>
    <x v="0"/>
    <s v="MERCEDES, S 63, COUPE"/>
    <s v="GRAY"/>
    <d v="2027-08-13T00:00:00"/>
    <d v="2027-09-13T00:00:00"/>
  </r>
  <r>
    <n v="2"/>
    <n v="8321"/>
    <s v="ABU DHABI, SIXTH CATEGORY, PRIVATE"/>
    <x v="0"/>
    <s v="FERRARI, PUROSANGUE, STATION"/>
    <s v="BLACK"/>
    <d v="2027-09-21T00:00:00"/>
    <d v="2027-10-21T00:00:00"/>
  </r>
  <r>
    <n v="3"/>
    <n v="63911"/>
    <s v="ABU DHABI, TENTH CATEGORY, PRIVATE"/>
    <x v="0"/>
    <s v="MERCEDES, C 63 AMG, COUPE"/>
    <s v="BLACK"/>
    <d v="2027-09-20T00:00:00"/>
    <d v="2027-10-20T00:00:00"/>
  </r>
  <r>
    <n v="4"/>
    <n v="78660"/>
    <s v="ABU DHABI, EIGHTH CATEGORY, PRIVATE"/>
    <x v="0"/>
    <s v="PORSCHE, GT 3, COUPE"/>
    <s v="GREEN"/>
    <d v="2026-09-28T00:00:00"/>
    <d v="2026-10-28T00:00:00"/>
  </r>
  <r>
    <n v="5"/>
    <n v="7860"/>
    <s v="ABU DHABI, FOURTEENTH CATEGORY, PRIVATE"/>
    <x v="0"/>
    <s v="BENTLEY, FLYING SPUR, SEDAN"/>
    <s v="SILVER/VIOLET"/>
    <d v="2026-09-30T00:00:00"/>
    <d v="2026-10-31T00:00:00"/>
  </r>
  <r>
    <n v="6"/>
    <n v="786"/>
    <s v="ABU DHABI, FIFTIETH CATEGORY, PRIVATE"/>
    <x v="0"/>
    <s v="ROLLS ROYCE, PHANTOM, SEDAN"/>
    <s v="BLACK/GOLDEN"/>
    <d v="2026-10-29T00:00:00"/>
    <d v="2026-12-02T00:00:00"/>
  </r>
  <r>
    <n v="7"/>
    <n v="78660"/>
    <s v="ABU DHABI, TWENTY-FIRST CATEGORY, PRIVATE"/>
    <x v="0"/>
    <s v="FERRARI, 488BISTA, COUPE"/>
    <s v="GRAY"/>
    <d v="2026-11-01T00:00:00"/>
    <d v="2026-12-01T00:00:00"/>
  </r>
  <r>
    <n v="8"/>
    <n v="25911"/>
    <s v="ABU DHABI, EIGHTH CATEGORY, PRIVATE"/>
    <x v="0"/>
    <s v="PORSCHE, 911 GT3RS, COUPE"/>
    <s v="BLACK"/>
    <d v="2026-11-01T00:00:00"/>
    <d v="2026-12-01T00:00:00"/>
  </r>
  <r>
    <n v="9"/>
    <n v="78660"/>
    <s v="ABU DHABI, NINTEENTH CATEGORY, PRIVATE"/>
    <x v="0"/>
    <s v="FERRARI, 296 GTS, COUPE"/>
    <s v="BLUE"/>
    <d v="2026-11-01T00:00:00"/>
    <d v="2026-12-01T00:00:00"/>
  </r>
  <r>
    <n v="10"/>
    <n v="78670"/>
    <s v="ABU DHABI, SEVENTH CATEGORY, PRIVATE"/>
    <x v="0"/>
    <s v="MERCEDES, G 63 AMG, STATION"/>
    <s v="BLACK"/>
    <d v="2026-11-01T00:00:00"/>
    <d v="2026-12-01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s v="D/62868"/>
    <x v="0"/>
    <n v="2024"/>
    <d v="2027-01-19T00:00:00"/>
    <n v="104"/>
    <d v="2027-02-19T00:00:00"/>
  </r>
  <r>
    <n v="2"/>
    <s v="R/87957"/>
    <x v="1"/>
    <n v="2020"/>
    <d v="2027-01-19T00:00:00"/>
    <n v="104"/>
    <d v="2027-02-19T00:00:00"/>
  </r>
  <r>
    <n v="3"/>
    <s v="X/75981"/>
    <x v="2"/>
    <n v="2013"/>
    <d v="2027-01-22T00:00:00"/>
    <n v="107"/>
    <d v="2027-02-22T00:00:00"/>
  </r>
  <r>
    <n v="4"/>
    <s v="E/81545"/>
    <x v="3"/>
    <n v="2009"/>
    <d v="2027-01-27T00:00:00"/>
    <n v="112"/>
    <d v="2027-02-27T00:00:00"/>
  </r>
  <r>
    <n v="5"/>
    <s v="FF38994"/>
    <x v="4"/>
    <n v="2025"/>
    <d v="2027-01-22T00:00:00"/>
    <n v="107"/>
    <d v="2027-02-22T00:00:00"/>
  </r>
  <r>
    <n v="6"/>
    <s v="W/48594"/>
    <x v="3"/>
    <n v="2012"/>
    <d v="2027-05-17T00:00:00"/>
    <n v="205"/>
    <d v="2027-06-17T00:00:00"/>
  </r>
  <r>
    <n v="7"/>
    <s v="W/48593"/>
    <x v="3"/>
    <n v="2012"/>
    <d v="2027-05-17T00:00:00"/>
    <n v="205"/>
    <d v="2027-06-17T00:00:00"/>
  </r>
  <r>
    <n v="8"/>
    <s v="C/71039"/>
    <x v="5"/>
    <n v="2022"/>
    <d v="2027-06-21T00:00:00"/>
    <n v="205"/>
    <d v="2027-07-21T00:00:00"/>
  </r>
  <r>
    <n v="9"/>
    <s v="Y/26523"/>
    <x v="6"/>
    <n v="2023"/>
    <d v="2027-06-21T00:00:00"/>
    <n v="205"/>
    <d v="2027-07-21T00:00:00"/>
  </r>
  <r>
    <n v="10"/>
    <n v="76661"/>
    <x v="7"/>
    <n v="2006"/>
    <d v="2027-07-22T00:00:00"/>
    <n v="288"/>
    <d v="2027-08-22T00:00:00"/>
  </r>
  <r>
    <n v="11"/>
    <s v="N/80959"/>
    <x v="8"/>
    <n v="2009"/>
    <d v="2027-07-22T00:00:00"/>
    <n v="288"/>
    <d v="2027-08-22T00:00:00"/>
  </r>
  <r>
    <n v="12"/>
    <s v="C/99567"/>
    <x v="3"/>
    <n v="2014"/>
    <d v="2026-08-18T00:00:00"/>
    <n v="-50"/>
    <d v="2026-09-18T00:00:00"/>
  </r>
  <r>
    <n v="13"/>
    <s v="EE 11948"/>
    <x v="3"/>
    <n v="2015"/>
    <d v="2027-06-21T00:00:00"/>
    <n v="257"/>
    <d v="2027-07-21T00:00:00"/>
  </r>
  <r>
    <n v="14"/>
    <s v="FF 39012"/>
    <x v="9"/>
    <n v="2025"/>
    <d v="2027-01-22T00:00:00"/>
    <n v="107"/>
    <d v="2027-02-22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"/>
    <s v="15/41584"/>
    <x v="0"/>
    <n v="2015"/>
    <d v="2026-10-05T00:00:00"/>
    <n v="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s v="11/50125"/>
    <x v="0"/>
    <n v="2007"/>
    <d v="2027-07-06T00:00:00"/>
    <n v="272"/>
    <d v="2027-08-06T00:00:00"/>
    <n v="303"/>
  </r>
  <r>
    <n v="2"/>
    <s v="21/58726"/>
    <x v="1"/>
    <n v="2025"/>
    <d v="2027-07-20T00:00:00"/>
    <n v="286"/>
    <d v="2027-08-20T00:00:00"/>
    <n v="317"/>
  </r>
  <r>
    <n v="3"/>
    <s v="1/90428"/>
    <x v="2"/>
    <n v="2011"/>
    <d v="2026-10-20T00:00:00"/>
    <n v="13"/>
    <d v="2026-11-20T00:00:00"/>
    <n v="44"/>
  </r>
  <r>
    <n v="4"/>
    <s v="17/91633"/>
    <x v="3"/>
    <n v="2000"/>
    <d v="2026-10-20T00:00:00"/>
    <n v="13"/>
    <d v="2026-11-20T00:00:00"/>
    <n v="44"/>
  </r>
  <r>
    <n v="5"/>
    <s v="1/90258"/>
    <x v="2"/>
    <n v="2007"/>
    <d v="2026-11-20T00:00:00"/>
    <n v="44"/>
    <d v="2026-12-20T00:00:00"/>
    <n v="74"/>
  </r>
  <r>
    <n v="6"/>
    <s v="8/16459"/>
    <x v="4"/>
    <n v="1989"/>
    <d v="2026-11-20T00:00:00"/>
    <n v="44"/>
    <d v="2026-12-20T00:00:00"/>
    <n v="7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n v="85186"/>
    <x v="0"/>
    <n v="2019"/>
    <d v="2027-09-02T00:00:00"/>
    <n v="330"/>
    <d v="2027-10-07T00:00:00"/>
    <n v="365"/>
    <s v="AYAANA"/>
  </r>
  <r>
    <n v="2"/>
    <n v="45933"/>
    <x v="1"/>
    <n v="2009"/>
    <d v="2027-09-07T00:00:00"/>
    <n v="335"/>
    <d v="2027-10-07T00:00:00"/>
    <n v="365"/>
    <s v="AYAANA"/>
  </r>
  <r>
    <n v="3"/>
    <n v="85099"/>
    <x v="0"/>
    <n v="2006"/>
    <d v="2027-08-29T00:00:00"/>
    <n v="326"/>
    <d v="2027-09-29T00:00:00"/>
    <n v="357"/>
    <s v="AYAANA"/>
  </r>
  <r>
    <n v="4"/>
    <n v="20118"/>
    <x v="1"/>
    <n v="1999"/>
    <d v="2027-08-28T00:00:00"/>
    <n v="325"/>
    <d v="2027-09-28T00:00:00"/>
    <n v="356"/>
    <s v="AYAANA"/>
  </r>
  <r>
    <n v="5"/>
    <n v="85106"/>
    <x v="0"/>
    <n v="2022"/>
    <d v="2027-09-07T00:00:00"/>
    <n v="335"/>
    <d v="2027-10-07T00:00:00"/>
    <n v="365"/>
    <s v="AYAANA"/>
  </r>
  <r>
    <n v="6"/>
    <n v="28647"/>
    <x v="1"/>
    <n v="2013"/>
    <d v="2027-08-29T00:00:00"/>
    <n v="326"/>
    <d v="2027-09-29T00:00:00"/>
    <n v="357"/>
    <s v="AYAANA"/>
  </r>
  <r>
    <n v="7"/>
    <n v="85641"/>
    <x v="0"/>
    <n v="2022"/>
    <d v="2027-09-07T00:00:00"/>
    <n v="335"/>
    <d v="2027-10-07T00:00:00"/>
    <n v="365"/>
    <s v="AYAANA"/>
  </r>
  <r>
    <n v="8"/>
    <n v="38948"/>
    <x v="1"/>
    <n v="2011"/>
    <d v="2027-09-20T00:00:00"/>
    <n v="348"/>
    <d v="2027-10-20T00:00:00"/>
    <n v="378"/>
    <s v="AYAANA"/>
  </r>
  <r>
    <n v="9"/>
    <n v="85978"/>
    <x v="0"/>
    <n v="2016"/>
    <d v="2027-09-25T00:00:00"/>
    <n v="353"/>
    <d v="2027-10-25T00:00:00"/>
    <n v="383"/>
    <s v="AYAANA"/>
  </r>
  <r>
    <n v="10"/>
    <n v="46546"/>
    <x v="2"/>
    <n v="2009"/>
    <d v="2027-09-21T00:00:00"/>
    <n v="349"/>
    <d v="2027-10-21T00:00:00"/>
    <n v="379"/>
    <s v="AYAANA"/>
  </r>
  <r>
    <n v="11"/>
    <n v="46560"/>
    <x v="2"/>
    <n v="2008"/>
    <d v="2026-09-28T00:00:00"/>
    <n v="-9"/>
    <d v="2026-10-28T00:00:00"/>
    <n v="21"/>
    <s v="AYAANA"/>
  </r>
  <r>
    <n v="12"/>
    <n v="86060"/>
    <x v="0"/>
    <n v="2012"/>
    <d v="2026-09-28T00:00:00"/>
    <n v="-9"/>
    <d v="2026-10-28T00:00:00"/>
    <n v="21"/>
    <s v="AYAANA"/>
  </r>
  <r>
    <n v="13"/>
    <n v="86489"/>
    <x v="0"/>
    <n v="2016"/>
    <d v="2026-10-02T00:00:00"/>
    <n v="-5"/>
    <d v="2026-11-02T00:00:00"/>
    <n v="26"/>
    <s v="AYAANA"/>
  </r>
  <r>
    <n v="14"/>
    <n v="48002"/>
    <x v="1"/>
    <n v="2003"/>
    <d v="2026-10-02T00:00:00"/>
    <n v="-5"/>
    <d v="2026-11-02T00:00:00"/>
    <n v="26"/>
    <s v="AYAANA"/>
  </r>
  <r>
    <n v="15"/>
    <n v="86297"/>
    <x v="0"/>
    <n v="2019"/>
    <d v="2026-10-07T00:00:00"/>
    <n v="0"/>
    <d v="2026-11-07T00:00:00"/>
    <n v="31"/>
    <s v="AYAANA"/>
  </r>
  <r>
    <n v="16"/>
    <n v="47062"/>
    <x v="1"/>
    <n v="2009"/>
    <d v="2026-10-07T00:00:00"/>
    <n v="0"/>
    <d v="2026-11-07T00:00:00"/>
    <n v="31"/>
    <s v="AYAANA"/>
  </r>
  <r>
    <n v="17"/>
    <n v="87119"/>
    <x v="0"/>
    <n v="2020"/>
    <d v="2026-10-16T00:00:00"/>
    <n v="9"/>
    <d v="2026-11-16T00:00:00"/>
    <n v="40"/>
    <s v="AYAANA"/>
  </r>
  <r>
    <n v="18"/>
    <n v="23950"/>
    <x v="1"/>
    <n v="2009"/>
    <d v="2026-10-16T00:00:00"/>
    <n v="9"/>
    <d v="2026-11-16T00:00:00"/>
    <n v="40"/>
    <s v="AYAANA"/>
  </r>
  <r>
    <n v="19"/>
    <n v="7191"/>
    <x v="1"/>
    <n v="2006"/>
    <d v="2026-10-22T00:00:00"/>
    <n v="15"/>
    <d v="2026-11-22T00:00:00"/>
    <n v="46"/>
    <s v="AYAANA"/>
  </r>
  <r>
    <n v="20"/>
    <n v="87407"/>
    <x v="0"/>
    <n v="2018"/>
    <d v="2026-10-22T00:00:00"/>
    <n v="15"/>
    <d v="2026-11-22T00:00:00"/>
    <n v="46"/>
    <s v="AYAANA"/>
  </r>
  <r>
    <n v="21"/>
    <n v="31306"/>
    <x v="0"/>
    <n v="2016"/>
    <d v="2026-11-23T00:00:00"/>
    <n v="47"/>
    <d v="2026-12-23T00:00:00"/>
    <n v="77"/>
    <s v="AYAANA"/>
  </r>
  <r>
    <n v="22"/>
    <n v="30295"/>
    <x v="0"/>
    <n v="2015"/>
    <d v="2026-11-23T00:00:00"/>
    <n v="47"/>
    <d v="2026-12-23T00:00:00"/>
    <n v="77"/>
    <s v="AYAANA"/>
  </r>
  <r>
    <n v="23"/>
    <n v="87919"/>
    <x v="0"/>
    <n v="2020"/>
    <d v="2026-11-24T00:00:00"/>
    <n v="48"/>
    <d v="2026-12-24T00:00:00"/>
    <n v="78"/>
    <s v="AYAANA"/>
  </r>
  <r>
    <n v="24"/>
    <n v="22422"/>
    <x v="1"/>
    <n v="2009"/>
    <d v="2026-11-24T00:00:00"/>
    <n v="48"/>
    <d v="2026-12-24T00:00:00"/>
    <n v="78"/>
    <s v="AYAANA"/>
  </r>
  <r>
    <n v="25"/>
    <n v="36468"/>
    <x v="1"/>
    <n v="2011"/>
    <d v="2026-11-24T00:00:00"/>
    <n v="48"/>
    <d v="2026-12-24T00:00:00"/>
    <n v="78"/>
    <s v="AYAANA"/>
  </r>
  <r>
    <n v="26"/>
    <n v="29022"/>
    <x v="3"/>
    <n v="2025"/>
    <d v="2026-12-03T00:00:00"/>
    <n v="57"/>
    <d v="2027-01-03T00:00:00"/>
    <n v="88"/>
    <s v="AYAANA"/>
  </r>
  <r>
    <n v="27"/>
    <n v="29009"/>
    <x v="3"/>
    <n v="2017"/>
    <d v="2026-12-03T00:00:00"/>
    <n v="57"/>
    <d v="2027-01-03T00:00:00"/>
    <n v="88"/>
    <s v="AYAANA"/>
  </r>
  <r>
    <n v="28"/>
    <n v="50552"/>
    <x v="1"/>
    <n v="2013"/>
    <d v="2026-12-07T00:00:00"/>
    <n v="61"/>
    <d v="2027-01-07T00:00:00"/>
    <n v="92"/>
    <s v="AYAANA"/>
  </r>
  <r>
    <n v="29"/>
    <n v="89819"/>
    <x v="0"/>
    <n v="2022"/>
    <d v="2026-12-07T00:00:00"/>
    <n v="61"/>
    <d v="2027-01-07T00:00:00"/>
    <n v="92"/>
    <s v="AYAANA"/>
  </r>
  <r>
    <n v="30"/>
    <n v="90587"/>
    <x v="0"/>
    <n v="2017"/>
    <d v="2027-01-04T00:00:00"/>
    <n v="89"/>
    <d v="2027-02-04T00:00:00"/>
    <n v="120"/>
    <s v="AYAANA"/>
  </r>
  <r>
    <n v="31"/>
    <n v="9158"/>
    <x v="1"/>
    <n v="2005"/>
    <d v="2027-01-04T00:00:00"/>
    <n v="89"/>
    <d v="2027-02-04T00:00:00"/>
    <n v="120"/>
    <s v="AYAANA"/>
  </r>
  <r>
    <n v="32"/>
    <n v="46348"/>
    <x v="1"/>
    <n v="2008"/>
    <d v="2027-01-08T00:00:00"/>
    <n v="93"/>
    <d v="2027-02-08T00:00:00"/>
    <n v="124"/>
    <s v="AYAANA"/>
  </r>
  <r>
    <n v="33"/>
    <n v="44752"/>
    <x v="1"/>
    <n v="1998"/>
    <d v="2027-01-18T00:00:00"/>
    <n v="103"/>
    <d v="2027-02-18T00:00:00"/>
    <n v="134"/>
    <s v="AYAANA"/>
  </r>
  <r>
    <n v="34"/>
    <n v="32278"/>
    <x v="0"/>
    <n v="2023"/>
    <d v="2027-01-18T00:00:00"/>
    <n v="103"/>
    <d v="2027-02-18T00:00:00"/>
    <n v="134"/>
    <s v="AYAANA"/>
  </r>
  <r>
    <n v="35"/>
    <n v="33184"/>
    <x v="0"/>
    <m/>
    <d v="2027-02-01T00:00:00"/>
    <n v="117"/>
    <d v="2027-03-01T00:00:00"/>
    <n v="145"/>
    <s v="AYAANA"/>
  </r>
  <r>
    <n v="36"/>
    <n v="63082"/>
    <x v="1"/>
    <n v="2008"/>
    <d v="2027-02-23T00:00:00"/>
    <n v="139"/>
    <d v="2027-03-23T00:00:00"/>
    <n v="167"/>
    <s v="AYAANA"/>
  </r>
  <r>
    <n v="37"/>
    <n v="77693"/>
    <x v="0"/>
    <n v="2025"/>
    <d v="2027-02-25T00:00:00"/>
    <n v="141"/>
    <d v="2027-03-25T00:00:00"/>
    <n v="169"/>
    <s v="AYAANA"/>
  </r>
  <r>
    <n v="38"/>
    <n v="40110"/>
    <x v="1"/>
    <n v="2013"/>
    <d v="2027-04-26T00:00:00"/>
    <n v="201"/>
    <d v="2027-05-26T00:00:00"/>
    <n v="231"/>
    <s v="AYAANA"/>
  </r>
  <r>
    <n v="39"/>
    <n v="39081"/>
    <x v="0"/>
    <n v="2026"/>
    <d v="2027-04-22T00:00:00"/>
    <n v="197"/>
    <d v="2027-05-22T00:00:00"/>
    <n v="227"/>
    <s v="AYAANA"/>
  </r>
  <r>
    <n v="40"/>
    <n v="33157"/>
    <x v="0"/>
    <n v="2026"/>
    <d v="2027-02-12T00:00:00"/>
    <n v="128"/>
    <d v="2027-03-12T00:00:00"/>
    <n v="156"/>
    <s v="AYAAN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22/27189"/>
    <x v="0"/>
    <n v="2007"/>
    <d v="2027-06-28T00:00:00"/>
    <n v="264"/>
  </r>
  <r>
    <n v="2"/>
    <s v="23/61405"/>
    <x v="0"/>
    <n v="2015"/>
    <d v="2027-07-12T00:00:00"/>
    <n v="278"/>
  </r>
  <r>
    <n v="3"/>
    <s v="23/61741"/>
    <x v="0"/>
    <n v="2007"/>
    <d v="2027-07-13T00:00:00"/>
    <n v="279"/>
  </r>
  <r>
    <n v="4"/>
    <s v="1/56205"/>
    <x v="1"/>
    <n v="2026"/>
    <d v="2027-07-13T00:00:00"/>
    <n v="279"/>
  </r>
  <r>
    <n v="5"/>
    <s v="23/56951"/>
    <x v="0"/>
    <n v="2014"/>
    <d v="2027-07-20T00:00:00"/>
    <n v="286"/>
  </r>
  <r>
    <n v="6"/>
    <s v="23/20724"/>
    <x v="0"/>
    <n v="2007"/>
    <d v="2027-09-24T00:00:00"/>
    <n v="352"/>
  </r>
  <r>
    <n v="7"/>
    <s v="1/55590"/>
    <x v="1"/>
    <n v="2026"/>
    <d v="2027-08-12T00:00:00"/>
    <n v="30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1"/>
    <s v="5/76839"/>
    <x v="0"/>
    <n v="1984"/>
    <d v="2025-12-17T00:00:00"/>
    <n v="-266"/>
    <d v="2026-01-17T00:00:00"/>
    <n v="-235"/>
  </r>
  <r>
    <n v="2"/>
    <s v="9/68089"/>
    <x v="1"/>
    <n v="2009"/>
    <d v="2027-08-24T00:00:00"/>
    <n v="349"/>
    <d v="2027-09-24T00:00:00"/>
    <n v="380"/>
  </r>
  <r>
    <n v="4"/>
    <s v="12/55496"/>
    <x v="2"/>
    <n v="2009"/>
    <d v="2026-08-03T00:00:00"/>
    <n v="-37"/>
    <d v="2026-09-03T00:00:00"/>
    <n v="-6"/>
  </r>
  <r>
    <n v="14"/>
    <s v="18/71548"/>
    <x v="3"/>
    <n v="2010"/>
    <d v="2027-01-01T00:00:00"/>
    <n v="114"/>
    <d v="2027-02-01T00:00:00"/>
    <n v="145"/>
  </r>
  <r>
    <n v="17"/>
    <s v="10/71821"/>
    <x v="4"/>
    <n v="2017"/>
    <d v="2027-02-18T00:00:00"/>
    <n v="162"/>
    <d v="2027-03-18T00:00:00"/>
    <n v="190"/>
  </r>
  <r>
    <n v="19"/>
    <s v="5/24641"/>
    <x v="5"/>
    <n v="2016"/>
    <d v="2027-04-26T00:00:00"/>
    <n v="229"/>
    <d v="2027-05-26T00:00:00"/>
    <n v="259"/>
  </r>
  <r>
    <n v="15"/>
    <s v="7/21757"/>
    <x v="6"/>
    <n v="2008"/>
    <d v="2027-01-04T00:00:00"/>
    <n v="117"/>
    <d v="2027-02-04T00:00:00"/>
    <n v="148"/>
  </r>
  <r>
    <n v="7"/>
    <s v="9/44302"/>
    <x v="7"/>
    <n v="2009"/>
    <d v="2027-09-07T00:00:00"/>
    <n v="363"/>
    <d v="2027-10-07T00:00:00"/>
    <n v="393"/>
  </r>
  <r>
    <n v="9"/>
    <s v="8/32149"/>
    <x v="7"/>
    <n v="2009"/>
    <d v="2027-09-15T00:00:00"/>
    <n v="-9"/>
    <d v="2027-10-15T00:00:00"/>
    <n v="21"/>
  </r>
  <r>
    <n v="13"/>
    <s v="19/40926"/>
    <x v="8"/>
    <n v="2023"/>
    <d v="2026-12-11T00:00:00"/>
    <n v="93"/>
    <d v="2027-01-11T00:00:00"/>
    <n v="124"/>
  </r>
  <r>
    <n v="5"/>
    <s v="19/60156"/>
    <x v="9"/>
    <n v="2023"/>
    <d v="2027-08-23T00:00:00"/>
    <n v="348"/>
    <d v="2027-09-23T00:00:00"/>
    <n v="379"/>
  </r>
  <r>
    <n v="16"/>
    <s v="4/39260"/>
    <x v="9"/>
    <n v="2013"/>
    <d v="2027-01-25T00:00:00"/>
    <n v="138"/>
    <d v="2027-02-25T00:00:00"/>
    <n v="169"/>
  </r>
  <r>
    <n v="18"/>
    <s v="18/43702"/>
    <x v="9"/>
    <n v="2020"/>
    <d v="2027-04-06T00:00:00"/>
    <n v="209"/>
    <d v="2027-05-06T00:00:00"/>
    <n v="239"/>
  </r>
  <r>
    <n v="3"/>
    <s v="1/94709"/>
    <x v="10"/>
    <n v="2009"/>
    <d v="2027-08-24T00:00:00"/>
    <n v="349"/>
    <d v="2027-09-24T00:00:00"/>
    <n v="380"/>
  </r>
  <r>
    <n v="6"/>
    <s v="1/94998"/>
    <x v="10"/>
    <n v="2008"/>
    <d v="2027-09-26T00:00:00"/>
    <n v="-26"/>
    <d v="2027-09-26T00:00:00"/>
    <n v="5"/>
  </r>
  <r>
    <n v="8"/>
    <s v="1/94801"/>
    <x v="10"/>
    <n v="2011"/>
    <d v="2027-09-07T00:00:00"/>
    <n v="363"/>
    <d v="2027-10-07T00:00:00"/>
    <n v="393"/>
  </r>
  <r>
    <n v="10"/>
    <s v="1/91196"/>
    <x v="10"/>
    <n v="2012"/>
    <d v="2027-09-15T00:00:00"/>
    <n v="-1"/>
    <d v="2027-10-15T00:00:00"/>
    <n v="29"/>
  </r>
  <r>
    <n v="12"/>
    <s v="1/90685"/>
    <x v="10"/>
    <n v="2011"/>
    <d v="2026-11-13T00:00:00"/>
    <n v="65"/>
    <d v="2026-12-13T00:00:00"/>
    <n v="95"/>
  </r>
  <r>
    <n v="1"/>
    <s v="18/69438"/>
    <x v="11"/>
    <n v="2005"/>
    <d v="2027-07-20T00:00:00"/>
    <n v="314"/>
    <d v="2027-08-20T00:00:00"/>
    <n v="345"/>
  </r>
  <r>
    <n v="20"/>
    <s v="18/69425"/>
    <x v="11"/>
    <n v="2003"/>
    <d v="2027-06-04T00:00:00"/>
    <n v="268"/>
    <d v="2027-07-04T00:00:00"/>
    <n v="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26" firstHeaderRow="1" firstDataRow="1" firstDataCol="1"/>
  <pivotFields count="8">
    <pivotField showAll="0"/>
    <pivotField showAll="0"/>
    <pivotField axis="axisRow" dataField="1" showAll="0">
      <items count="24">
        <item x="4"/>
        <item x="16"/>
        <item x="0"/>
        <item x="22"/>
        <item x="14"/>
        <item x="7"/>
        <item x="11"/>
        <item x="17"/>
        <item x="15"/>
        <item x="5"/>
        <item x="10"/>
        <item x="21"/>
        <item x="3"/>
        <item x="6"/>
        <item x="2"/>
        <item x="9"/>
        <item x="12"/>
        <item x="13"/>
        <item x="18"/>
        <item x="20"/>
        <item x="19"/>
        <item x="1"/>
        <item x="8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VEHICLE TYPE" fld="2" subtotal="count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9"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numFmtId="164" showAll="0"/>
    <pivotField showAll="0"/>
    <pivotField numFmtId="16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EHICLE TYPE" fld="2" subtotal="count" baseField="0" baseItem="0"/>
  </dataFields>
  <formats count="23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dataOnly="0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2" count="1">
            <x v="2"/>
          </reference>
        </references>
      </pivotArea>
    </format>
    <format dxfId="43">
      <pivotArea dataOnly="0" labelOnly="1" fieldPosition="0">
        <references count="1">
          <reference field="2" count="1">
            <x v="2"/>
          </reference>
        </references>
      </pivotArea>
    </format>
    <format dxfId="42">
      <pivotArea collapsedLevelsAreSubtotals="1" fieldPosition="0">
        <references count="1">
          <reference field="2" count="1">
            <x v="2"/>
          </reference>
        </references>
      </pivotArea>
    </format>
    <format dxfId="41">
      <pivotArea dataOnly="0" labelOnly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0" firstHeaderRow="1" firstDataRow="1" firstDataCol="1"/>
  <pivotFields count="8">
    <pivotField showAll="0"/>
    <pivotField showAll="0"/>
    <pivotField axis="axisRow" dataField="1" showAll="0">
      <items count="9">
        <item x="0"/>
        <item x="1"/>
        <item x="7"/>
        <item x="2"/>
        <item x="3"/>
        <item x="4"/>
        <item x="5"/>
        <item x="6"/>
        <item t="default"/>
      </items>
    </pivotField>
    <pivotField showAll="0"/>
    <pivotField numFmtId="164" showAll="0"/>
    <pivotField showAll="0"/>
    <pivotField numFmtId="164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VEHICLE TYPE" fld="2" subtotal="count" baseField="0" baseItem="0"/>
  </dataFields>
  <formats count="3">
    <format dxfId="66">
      <pivotArea outline="0" collapsedLevelsAreSubtotals="1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26" firstHeaderRow="1" firstDataRow="1" firstDataCol="1"/>
  <pivotFields count="6">
    <pivotField showAll="0"/>
    <pivotField showAll="0"/>
    <pivotField axis="axisRow" dataField="1" showAll="0">
      <items count="2">
        <item x="0"/>
        <item t="default"/>
      </items>
    </pivotField>
    <pivotField showAll="0"/>
    <pivotField numFmtId="164" showAll="0"/>
    <pivotField numFmtI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unt of VEHICLE TYPE" fld="2" subtotal="count" baseField="0" baseItem="0"/>
  </dataFields>
  <formats count="7"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4" firstHeaderRow="1" firstDataRow="1" firstDataCol="1"/>
  <pivotFields count="8"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4" showAll="0"/>
    <pivotField showAll="0"/>
    <pivotField numFmtId="1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VEHICLE TYPE" fld="2" subtotal="count" baseField="0" baseItem="0"/>
  </dataFields>
  <formats count="7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1:K23" firstHeaderRow="1" firstDataRow="1" firstDataCol="1"/>
  <pivotFields count="8">
    <pivotField showAll="0"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numFmtId="14" showAll="0"/>
    <pivotField numFmtId="14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ount of Vehicle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19" firstHeaderRow="1" firstDataRow="1" firstDataCol="1"/>
  <pivotFields count="6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numFmtId="15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VEHICLE TYPE" fld="2" subtotal="count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8" firstHeaderRow="1" firstDataRow="1" firstDataCol="1"/>
  <pivotFields count="8">
    <pivotField showAll="0"/>
    <pivotField showAll="0"/>
    <pivotField axis="axisRow" dataField="1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EHICLE TYPE" fld="2" subtotal="count" baseField="0" baseItem="0"/>
  </dataFields>
  <formats count="15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2" type="button" dataOnly="0" labelOnly="1" outline="0" axis="axisRow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dataOnly="0" labelOnly="1" outline="0" axis="axisValues" fieldPosition="0"/>
    </format>
    <format dxfId="88">
      <pivotArea collapsedLevelsAreSubtotals="1" fieldPosition="0">
        <references count="1">
          <reference field="2" count="1">
            <x v="3"/>
          </reference>
        </references>
      </pivotArea>
    </format>
    <format dxfId="87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13" firstHeaderRow="1" firstDataRow="1" firstDataCol="1"/>
  <pivotFields count="7">
    <pivotField showAll="0"/>
    <pivotField showAll="0"/>
    <pivotField axis="axisRow" dataField="1" showAll="0">
      <items count="11">
        <item x="2"/>
        <item x="3"/>
        <item x="9"/>
        <item x="4"/>
        <item x="8"/>
        <item x="5"/>
        <item x="6"/>
        <item x="0"/>
        <item x="1"/>
        <item x="7"/>
        <item t="default"/>
      </items>
    </pivotField>
    <pivotField showAll="0"/>
    <pivotField numFmtId="164" showAll="0"/>
    <pivotField showAll="0"/>
    <pivotField numFmtId="164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VEHICLE TYPE" fld="2" subtotal="count" baseField="0" baseItem="0"/>
  </dataFields>
  <formats count="8"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collapsedLevelsAreSubtotals="1" fieldPosition="0">
        <references count="1">
          <reference field="2" count="0"/>
        </references>
      </pivotArea>
    </format>
    <format dxfId="10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Table4" displayName="Table4" ref="A2:I58" totalsRowShown="0" headerRowDxfId="34" headerRowBorderDxfId="33">
  <autoFilter ref="A2:I58"/>
  <tableColumns count="9">
    <tableColumn id="1" name="S.NO" dataDxfId="32"/>
    <tableColumn id="2" name="PLATE NO" dataDxfId="31"/>
    <tableColumn id="3" name="VEHICLE TYPE" dataDxfId="30"/>
    <tableColumn id="4" name="MODEL" dataDxfId="29"/>
    <tableColumn id="5" name="MULKIYA EXP DATE" dataDxfId="28"/>
    <tableColumn id="6" name="VALID DAYS" dataDxfId="27"/>
    <tableColumn id="7" name="INSURANCE EXP DATE" dataDxfId="26"/>
    <tableColumn id="8" name="VALID DAYS2" dataDxfId="25"/>
    <tableColumn id="9" name="Remark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23" totalsRowShown="0" headerRowDxfId="24">
  <autoFilter ref="A3:H23"/>
  <tableColumns count="8">
    <tableColumn id="1" name="S.NO" dataDxfId="23"/>
    <tableColumn id="2" name="PLATE NO" dataDxfId="22"/>
    <tableColumn id="3" name="VEHICLE TYPE" dataDxfId="21"/>
    <tableColumn id="4" name="MODEL" dataDxfId="20"/>
    <tableColumn id="5" name="MULKIYA EXP DATE" dataDxfId="19"/>
    <tableColumn id="6" name="VALID DAYS" dataDxfId="18"/>
    <tableColumn id="7" name="INSURANCE EXP DATE" dataDxfId="17"/>
    <tableColumn id="8" name="VALID DAYS2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Vehicles" displayName="Vehicles" ref="B1:M64" totalsRowShown="0" headerRowDxfId="14" dataDxfId="13">
  <autoFilter ref="B1:M64">
    <filterColumn colId="5">
      <filters>
        <filter val="1989"/>
      </filters>
    </filterColumn>
  </autoFilter>
  <sortState ref="B2:I62">
    <sortCondition ref="B2:B62"/>
  </sortState>
  <tableColumns count="12">
    <tableColumn id="1" name="Truck No" dataDxfId="12"/>
    <tableColumn id="12" name="Trailer No" dataDxfId="11"/>
    <tableColumn id="11" name="Regn." dataDxfId="10"/>
    <tableColumn id="2" name="Make" dataDxfId="9"/>
    <tableColumn id="3" name="Model" dataDxfId="8"/>
    <tableColumn id="4" name="Year" dataDxfId="7"/>
    <tableColumn id="5" name="Transport" dataDxfId="6"/>
    <tableColumn id="6" name="Driver Name" dataDxfId="5"/>
    <tableColumn id="7" name="Mobile No." dataDxfId="4"/>
    <tableColumn id="10" name="Licence " dataDxfId="3"/>
    <tableColumn id="13" name="Lic Expiry " dataDxfId="2"/>
    <tableColumn id="8" name="Remar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K25" sqref="K25"/>
    </sheetView>
  </sheetViews>
  <sheetFormatPr defaultRowHeight="14.4" x14ac:dyDescent="0.3"/>
  <cols>
    <col min="1" max="1" width="19.88671875" bestFit="1" customWidth="1"/>
    <col min="2" max="2" width="12.5546875" bestFit="1" customWidth="1"/>
    <col min="3" max="3" width="7.44140625" customWidth="1"/>
    <col min="4" max="4" width="18.21875" bestFit="1" customWidth="1"/>
    <col min="5" max="5" width="20.5546875" bestFit="1" customWidth="1"/>
    <col min="6" max="6" width="3" customWidth="1"/>
    <col min="7" max="7" width="24.6640625" bestFit="1" customWidth="1"/>
    <col min="8" max="8" width="11.6640625" bestFit="1" customWidth="1"/>
    <col min="9" max="9" width="5.21875" customWidth="1"/>
    <col min="10" max="10" width="15" bestFit="1" customWidth="1"/>
    <col min="11" max="11" width="20.5546875" bestFit="1" customWidth="1"/>
  </cols>
  <sheetData>
    <row r="1" spans="1:11" ht="15" thickBot="1" x14ac:dyDescent="0.35">
      <c r="B1" s="75" t="s">
        <v>313</v>
      </c>
      <c r="E1" s="75" t="s">
        <v>316</v>
      </c>
      <c r="H1" s="75" t="s">
        <v>330</v>
      </c>
      <c r="K1" s="75" t="s">
        <v>339</v>
      </c>
    </row>
    <row r="2" spans="1:11" ht="34.799999999999997" customHeight="1" thickBot="1" x14ac:dyDescent="0.35">
      <c r="A2" s="104" t="s">
        <v>310</v>
      </c>
      <c r="B2" s="106" t="s">
        <v>312</v>
      </c>
      <c r="D2" s="77" t="s">
        <v>310</v>
      </c>
      <c r="E2" s="90" t="s">
        <v>312</v>
      </c>
      <c r="G2" s="169" t="s">
        <v>310</v>
      </c>
      <c r="H2" s="20" t="s">
        <v>312</v>
      </c>
      <c r="J2" s="98" t="s">
        <v>310</v>
      </c>
      <c r="K2" s="100" t="s">
        <v>312</v>
      </c>
    </row>
    <row r="3" spans="1:11" x14ac:dyDescent="0.3">
      <c r="A3" s="101" t="s">
        <v>205</v>
      </c>
      <c r="B3" s="101">
        <v>2</v>
      </c>
      <c r="D3" s="24" t="s">
        <v>24</v>
      </c>
      <c r="E3" s="24">
        <v>1</v>
      </c>
      <c r="G3" s="74" t="s">
        <v>28</v>
      </c>
      <c r="H3" s="20">
        <v>4</v>
      </c>
      <c r="J3" s="74" t="s">
        <v>24</v>
      </c>
      <c r="K3" s="20">
        <v>1</v>
      </c>
    </row>
    <row r="4" spans="1:11" x14ac:dyDescent="0.3">
      <c r="A4" s="102" t="s">
        <v>76</v>
      </c>
      <c r="B4" s="102">
        <v>2</v>
      </c>
      <c r="D4" s="24" t="s">
        <v>108</v>
      </c>
      <c r="E4" s="24">
        <v>1</v>
      </c>
      <c r="G4" s="74" t="s">
        <v>208</v>
      </c>
      <c r="H4" s="20">
        <v>5</v>
      </c>
      <c r="J4" s="74" t="s">
        <v>6</v>
      </c>
      <c r="K4" s="20">
        <v>5</v>
      </c>
    </row>
    <row r="5" spans="1:11" x14ac:dyDescent="0.3">
      <c r="A5" s="110" t="s">
        <v>16</v>
      </c>
      <c r="B5" s="110">
        <v>20</v>
      </c>
      <c r="D5" s="24" t="s">
        <v>54</v>
      </c>
      <c r="E5" s="24">
        <v>1</v>
      </c>
      <c r="G5" s="74" t="s">
        <v>24</v>
      </c>
      <c r="H5" s="20">
        <v>11</v>
      </c>
      <c r="J5" s="74" t="s">
        <v>335</v>
      </c>
      <c r="K5" s="20">
        <v>1</v>
      </c>
    </row>
    <row r="6" spans="1:11" ht="15" thickBot="1" x14ac:dyDescent="0.35">
      <c r="A6" s="103" t="s">
        <v>44</v>
      </c>
      <c r="B6" s="102">
        <v>16</v>
      </c>
      <c r="D6" s="111" t="s">
        <v>16</v>
      </c>
      <c r="E6" s="111">
        <v>2</v>
      </c>
      <c r="G6" s="74" t="s">
        <v>326</v>
      </c>
      <c r="H6" s="20">
        <v>3</v>
      </c>
      <c r="J6" s="74" t="s">
        <v>337</v>
      </c>
      <c r="K6" s="20">
        <v>1</v>
      </c>
    </row>
    <row r="7" spans="1:11" ht="15" thickBot="1" x14ac:dyDescent="0.35">
      <c r="A7" s="105" t="s">
        <v>311</v>
      </c>
      <c r="B7" s="103">
        <v>40</v>
      </c>
      <c r="D7" s="24" t="s">
        <v>44</v>
      </c>
      <c r="E7" s="24">
        <v>1</v>
      </c>
      <c r="G7" s="74" t="s">
        <v>199</v>
      </c>
      <c r="H7" s="20">
        <v>1</v>
      </c>
      <c r="J7" s="74" t="s">
        <v>18</v>
      </c>
      <c r="K7" s="20">
        <v>1</v>
      </c>
    </row>
    <row r="8" spans="1:11" x14ac:dyDescent="0.3">
      <c r="D8" s="24" t="s">
        <v>311</v>
      </c>
      <c r="E8" s="24">
        <v>6</v>
      </c>
      <c r="G8" s="74" t="s">
        <v>133</v>
      </c>
      <c r="H8" s="20">
        <v>1</v>
      </c>
      <c r="J8" s="74" t="s">
        <v>112</v>
      </c>
      <c r="K8" s="20">
        <v>1</v>
      </c>
    </row>
    <row r="9" spans="1:11" ht="15" thickBot="1" x14ac:dyDescent="0.35">
      <c r="G9" s="74" t="s">
        <v>29</v>
      </c>
      <c r="H9" s="20">
        <v>1</v>
      </c>
      <c r="J9" s="74" t="s">
        <v>33</v>
      </c>
      <c r="K9" s="20">
        <v>1</v>
      </c>
    </row>
    <row r="10" spans="1:11" x14ac:dyDescent="0.3">
      <c r="A10" s="94"/>
      <c r="B10" s="95" t="s">
        <v>319</v>
      </c>
      <c r="E10" s="75" t="s">
        <v>467</v>
      </c>
      <c r="G10" s="74" t="s">
        <v>158</v>
      </c>
      <c r="H10" s="20">
        <v>1</v>
      </c>
      <c r="J10" s="74" t="s">
        <v>60</v>
      </c>
      <c r="K10" s="20">
        <v>1</v>
      </c>
    </row>
    <row r="11" spans="1:11" ht="28.8" x14ac:dyDescent="0.3">
      <c r="A11" s="169" t="s">
        <v>310</v>
      </c>
      <c r="B11" s="178" t="s">
        <v>312</v>
      </c>
      <c r="D11" s="155" t="s">
        <v>310</v>
      </c>
      <c r="E11" t="s">
        <v>312</v>
      </c>
      <c r="G11" s="74" t="s">
        <v>6</v>
      </c>
      <c r="H11" s="20">
        <v>1</v>
      </c>
      <c r="J11" s="74" t="s">
        <v>100</v>
      </c>
      <c r="K11" s="20">
        <v>1</v>
      </c>
    </row>
    <row r="12" spans="1:11" ht="15" thickBot="1" x14ac:dyDescent="0.35">
      <c r="A12" s="74" t="s">
        <v>317</v>
      </c>
      <c r="B12" s="20">
        <v>1</v>
      </c>
      <c r="D12" s="74" t="s">
        <v>206</v>
      </c>
      <c r="E12" s="20">
        <v>2</v>
      </c>
      <c r="G12" s="74" t="s">
        <v>116</v>
      </c>
      <c r="H12" s="20">
        <v>1</v>
      </c>
      <c r="J12" s="74" t="s">
        <v>324</v>
      </c>
      <c r="K12" s="20">
        <v>1</v>
      </c>
    </row>
    <row r="13" spans="1:11" ht="15" thickBot="1" x14ac:dyDescent="0.35">
      <c r="A13" s="74" t="s">
        <v>51</v>
      </c>
      <c r="B13" s="20">
        <v>1</v>
      </c>
      <c r="D13" s="74" t="s">
        <v>89</v>
      </c>
      <c r="E13" s="20">
        <v>1</v>
      </c>
      <c r="G13" s="74" t="s">
        <v>22</v>
      </c>
      <c r="H13" s="20">
        <v>1</v>
      </c>
      <c r="J13" s="99" t="s">
        <v>311</v>
      </c>
      <c r="K13" s="180">
        <v>14</v>
      </c>
    </row>
    <row r="14" spans="1:11" x14ac:dyDescent="0.3">
      <c r="A14" s="74" t="s">
        <v>24</v>
      </c>
      <c r="B14" s="20">
        <v>1</v>
      </c>
      <c r="D14" s="74" t="s">
        <v>346</v>
      </c>
      <c r="E14" s="20">
        <v>1</v>
      </c>
      <c r="G14" s="74" t="s">
        <v>226</v>
      </c>
      <c r="H14" s="20">
        <v>1</v>
      </c>
    </row>
    <row r="15" spans="1:11" x14ac:dyDescent="0.3">
      <c r="A15" s="74" t="s">
        <v>6</v>
      </c>
      <c r="B15" s="20">
        <v>1</v>
      </c>
      <c r="D15" s="74" t="s">
        <v>76</v>
      </c>
      <c r="E15" s="20">
        <v>2</v>
      </c>
      <c r="G15" s="74" t="s">
        <v>9</v>
      </c>
      <c r="H15" s="20">
        <v>1</v>
      </c>
      <c r="K15" s="75" t="s">
        <v>342</v>
      </c>
    </row>
    <row r="16" spans="1:11" x14ac:dyDescent="0.3">
      <c r="A16" s="74" t="s">
        <v>217</v>
      </c>
      <c r="B16" s="20">
        <v>1</v>
      </c>
      <c r="D16" s="74" t="s">
        <v>60</v>
      </c>
      <c r="E16" s="20">
        <v>1</v>
      </c>
      <c r="G16" s="74" t="s">
        <v>14</v>
      </c>
      <c r="H16" s="20">
        <v>1</v>
      </c>
      <c r="J16" s="113" t="s">
        <v>310</v>
      </c>
      <c r="K16" s="109" t="s">
        <v>312</v>
      </c>
    </row>
    <row r="17" spans="1:11" x14ac:dyDescent="0.3">
      <c r="A17" s="74" t="s">
        <v>218</v>
      </c>
      <c r="B17" s="20">
        <v>1</v>
      </c>
      <c r="D17" s="74" t="s">
        <v>16</v>
      </c>
      <c r="E17" s="20">
        <v>40</v>
      </c>
      <c r="G17" s="74" t="s">
        <v>12</v>
      </c>
      <c r="H17" s="20">
        <v>8</v>
      </c>
      <c r="I17" s="92" t="s">
        <v>331</v>
      </c>
      <c r="J17" s="4" t="s">
        <v>324</v>
      </c>
      <c r="K17">
        <v>2</v>
      </c>
    </row>
    <row r="18" spans="1:11" x14ac:dyDescent="0.3">
      <c r="A18" s="74" t="s">
        <v>157</v>
      </c>
      <c r="B18" s="20">
        <v>1</v>
      </c>
      <c r="D18" s="74" t="s">
        <v>212</v>
      </c>
      <c r="E18" s="20">
        <v>2</v>
      </c>
      <c r="G18" s="74" t="s">
        <v>18</v>
      </c>
      <c r="H18" s="20">
        <v>2</v>
      </c>
      <c r="J18" s="108" t="s">
        <v>341</v>
      </c>
      <c r="K18">
        <v>5</v>
      </c>
    </row>
    <row r="19" spans="1:11" x14ac:dyDescent="0.3">
      <c r="A19" s="74" t="s">
        <v>54</v>
      </c>
      <c r="B19" s="20">
        <v>2</v>
      </c>
      <c r="D19" s="74" t="s">
        <v>44</v>
      </c>
      <c r="E19" s="20">
        <v>35</v>
      </c>
      <c r="G19" s="74" t="s">
        <v>220</v>
      </c>
      <c r="H19" s="20">
        <v>2</v>
      </c>
      <c r="J19" s="108" t="s">
        <v>311</v>
      </c>
      <c r="K19" s="109">
        <v>7</v>
      </c>
    </row>
    <row r="20" spans="1:11" x14ac:dyDescent="0.3">
      <c r="A20" s="74" t="s">
        <v>113</v>
      </c>
      <c r="B20" s="20">
        <v>1</v>
      </c>
      <c r="D20" s="74" t="s">
        <v>311</v>
      </c>
      <c r="E20" s="20">
        <v>84</v>
      </c>
      <c r="G20" s="74" t="s">
        <v>190</v>
      </c>
      <c r="H20" s="20">
        <v>2</v>
      </c>
    </row>
    <row r="21" spans="1:11" x14ac:dyDescent="0.3">
      <c r="A21" s="74" t="s">
        <v>60</v>
      </c>
      <c r="B21" s="20">
        <v>3</v>
      </c>
      <c r="G21" s="74" t="s">
        <v>40</v>
      </c>
      <c r="H21" s="20">
        <v>1</v>
      </c>
      <c r="J21" s="155" t="s">
        <v>310</v>
      </c>
      <c r="K21" t="s">
        <v>452</v>
      </c>
    </row>
    <row r="22" spans="1:11" ht="15" thickBot="1" x14ac:dyDescent="0.35">
      <c r="A22" s="74" t="s">
        <v>16</v>
      </c>
      <c r="B22" s="20">
        <v>5</v>
      </c>
      <c r="G22" s="74" t="s">
        <v>191</v>
      </c>
      <c r="H22" s="20">
        <v>1</v>
      </c>
      <c r="J22" s="4" t="s">
        <v>450</v>
      </c>
      <c r="K22">
        <v>10</v>
      </c>
    </row>
    <row r="23" spans="1:11" ht="15" thickBot="1" x14ac:dyDescent="0.35">
      <c r="A23" s="74" t="s">
        <v>44</v>
      </c>
      <c r="B23" s="20">
        <v>2</v>
      </c>
      <c r="D23" s="93"/>
      <c r="E23" s="96" t="s">
        <v>332</v>
      </c>
      <c r="G23" s="74" t="s">
        <v>42</v>
      </c>
      <c r="H23" s="20">
        <v>1</v>
      </c>
      <c r="J23" s="4" t="s">
        <v>311</v>
      </c>
      <c r="K23">
        <v>10</v>
      </c>
    </row>
    <row r="24" spans="1:11" ht="15" thickBot="1" x14ac:dyDescent="0.35">
      <c r="A24" s="74" t="s">
        <v>311</v>
      </c>
      <c r="B24" s="20">
        <v>20</v>
      </c>
      <c r="D24" s="98" t="s">
        <v>310</v>
      </c>
      <c r="E24" s="100" t="s">
        <v>312</v>
      </c>
      <c r="G24" s="74" t="s">
        <v>115</v>
      </c>
      <c r="H24" s="20">
        <v>4</v>
      </c>
    </row>
    <row r="25" spans="1:11" ht="21.6" thickBot="1" x14ac:dyDescent="0.45">
      <c r="C25" s="4"/>
      <c r="D25" s="99" t="s">
        <v>22</v>
      </c>
      <c r="E25" s="179">
        <v>1</v>
      </c>
      <c r="G25" s="74" t="s">
        <v>16</v>
      </c>
      <c r="H25" s="20">
        <v>2</v>
      </c>
      <c r="J25" s="91" t="s">
        <v>338</v>
      </c>
      <c r="K25" s="91">
        <f>GETPIVOTDATA("VEHICLE TYPE",$A$2)+GETPIVOTDATA("VEHICLE TYPE",$D$2)+GETPIVOTDATA("VEHICLE TYPE",$G$2)+GETPIVOTDATA("VEHICLE TYPE",$D$11)+GETPIVOTDATA("VEHICLE TYPE",$A$12)+GETPIVOTDATA("VEHICLE TYPE",$D$24)+GETPIVOTDATA("VEHICLE TYPE",$J$2)+GETPIVOTDATA("VEHICLE TYPE",$J$16)+GETPIVOTDATA("Vehicle Type",$J$21)</f>
        <v>238</v>
      </c>
    </row>
    <row r="26" spans="1:11" ht="15" thickBot="1" x14ac:dyDescent="0.35">
      <c r="D26" s="99" t="s">
        <v>311</v>
      </c>
      <c r="E26" s="180">
        <v>1</v>
      </c>
      <c r="G26" s="74" t="s">
        <v>311</v>
      </c>
      <c r="H26" s="20">
        <v>56</v>
      </c>
    </row>
  </sheetData>
  <pageMargins left="0.25" right="0.25" top="0.75" bottom="0.75" header="0.3" footer="0.3"/>
  <pageSetup paperSize="8"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102" zoomScaleNormal="102" workbookViewId="0">
      <selection activeCell="E6" sqref="E6"/>
    </sheetView>
  </sheetViews>
  <sheetFormatPr defaultColWidth="8.88671875" defaultRowHeight="14.4" x14ac:dyDescent="0.3"/>
  <cols>
    <col min="1" max="1" width="7.77734375" style="20" customWidth="1"/>
    <col min="2" max="2" width="16.77734375" style="20" bestFit="1" customWidth="1"/>
    <col min="3" max="3" width="62.88671875" style="20" bestFit="1" customWidth="1"/>
    <col min="4" max="4" width="21.6640625" style="20" bestFit="1" customWidth="1"/>
    <col min="5" max="5" width="45.77734375" style="20" bestFit="1" customWidth="1"/>
    <col min="6" max="6" width="22.5546875" style="20" bestFit="1" customWidth="1"/>
    <col min="7" max="7" width="36.21875" style="20" bestFit="1" customWidth="1"/>
    <col min="8" max="8" width="33.33203125" style="20" bestFit="1" customWidth="1"/>
    <col min="9" max="16384" width="8.88671875" style="20"/>
  </cols>
  <sheetData>
    <row r="1" spans="1:9" ht="18" x14ac:dyDescent="0.3">
      <c r="A1" s="162" t="s">
        <v>448</v>
      </c>
      <c r="B1" s="163" t="s">
        <v>418</v>
      </c>
      <c r="C1" s="163" t="s">
        <v>419</v>
      </c>
      <c r="D1" s="163" t="s">
        <v>449</v>
      </c>
      <c r="E1" s="163" t="s">
        <v>420</v>
      </c>
      <c r="F1" s="163" t="s">
        <v>421</v>
      </c>
      <c r="G1" s="163" t="s">
        <v>422</v>
      </c>
      <c r="H1" s="163" t="s">
        <v>423</v>
      </c>
      <c r="I1" s="156"/>
    </row>
    <row r="2" spans="1:9" ht="18" x14ac:dyDescent="0.3">
      <c r="A2" s="159">
        <v>1</v>
      </c>
      <c r="B2" s="157">
        <v>7866</v>
      </c>
      <c r="C2" s="157" t="s">
        <v>424</v>
      </c>
      <c r="D2" s="157" t="s">
        <v>450</v>
      </c>
      <c r="E2" s="157" t="s">
        <v>425</v>
      </c>
      <c r="F2" s="157" t="s">
        <v>426</v>
      </c>
      <c r="G2" s="158">
        <v>46612</v>
      </c>
      <c r="H2" s="158">
        <v>46643</v>
      </c>
      <c r="I2" s="156"/>
    </row>
    <row r="3" spans="1:9" ht="18" x14ac:dyDescent="0.3">
      <c r="A3" s="159">
        <v>2</v>
      </c>
      <c r="B3" s="157">
        <v>8321</v>
      </c>
      <c r="C3" s="157" t="s">
        <v>427</v>
      </c>
      <c r="D3" s="157" t="s">
        <v>451</v>
      </c>
      <c r="E3" s="157" t="s">
        <v>428</v>
      </c>
      <c r="F3" s="157" t="s">
        <v>429</v>
      </c>
      <c r="G3" s="158">
        <v>46651</v>
      </c>
      <c r="H3" s="158">
        <v>46681</v>
      </c>
      <c r="I3" s="156"/>
    </row>
    <row r="4" spans="1:9" ht="18" x14ac:dyDescent="0.3">
      <c r="A4" s="159">
        <v>3</v>
      </c>
      <c r="B4" s="157">
        <v>63911</v>
      </c>
      <c r="C4" s="157" t="s">
        <v>424</v>
      </c>
      <c r="D4" s="157" t="s">
        <v>450</v>
      </c>
      <c r="E4" s="157" t="s">
        <v>430</v>
      </c>
      <c r="F4" s="157" t="s">
        <v>429</v>
      </c>
      <c r="G4" s="158">
        <v>46650</v>
      </c>
      <c r="H4" s="158">
        <v>46680</v>
      </c>
      <c r="I4" s="156"/>
    </row>
    <row r="5" spans="1:9" ht="18" x14ac:dyDescent="0.3">
      <c r="A5" s="159">
        <v>4</v>
      </c>
      <c r="B5" s="157">
        <v>78660</v>
      </c>
      <c r="C5" s="157" t="s">
        <v>431</v>
      </c>
      <c r="D5" s="157" t="s">
        <v>451</v>
      </c>
      <c r="E5" s="157" t="s">
        <v>432</v>
      </c>
      <c r="F5" s="157" t="s">
        <v>433</v>
      </c>
      <c r="G5" s="158">
        <v>46293</v>
      </c>
      <c r="H5" s="158">
        <v>46323</v>
      </c>
      <c r="I5" s="156"/>
    </row>
    <row r="6" spans="1:9" ht="18" x14ac:dyDescent="0.3">
      <c r="A6" s="159">
        <v>5</v>
      </c>
      <c r="B6" s="157">
        <v>7860</v>
      </c>
      <c r="C6" s="157" t="s">
        <v>434</v>
      </c>
      <c r="D6" s="157" t="s">
        <v>450</v>
      </c>
      <c r="E6" s="157" t="s">
        <v>435</v>
      </c>
      <c r="F6" s="157" t="s">
        <v>436</v>
      </c>
      <c r="G6" s="158">
        <v>46295</v>
      </c>
      <c r="H6" s="158">
        <v>46326</v>
      </c>
      <c r="I6" s="156"/>
    </row>
    <row r="7" spans="1:9" ht="18" x14ac:dyDescent="0.3">
      <c r="A7" s="159">
        <v>6</v>
      </c>
      <c r="B7" s="157">
        <v>786</v>
      </c>
      <c r="C7" s="157" t="s">
        <v>437</v>
      </c>
      <c r="D7" s="157" t="s">
        <v>451</v>
      </c>
      <c r="E7" s="157" t="s">
        <v>438</v>
      </c>
      <c r="F7" s="157" t="s">
        <v>439</v>
      </c>
      <c r="G7" s="158">
        <v>46324</v>
      </c>
      <c r="H7" s="158">
        <v>46358</v>
      </c>
      <c r="I7" s="156"/>
    </row>
    <row r="8" spans="1:9" ht="34.799999999999997" x14ac:dyDescent="0.3">
      <c r="A8" s="159">
        <v>7</v>
      </c>
      <c r="B8" s="157">
        <v>78660</v>
      </c>
      <c r="C8" s="157" t="s">
        <v>440</v>
      </c>
      <c r="D8" s="157" t="s">
        <v>450</v>
      </c>
      <c r="E8" s="157" t="s">
        <v>441</v>
      </c>
      <c r="F8" s="157" t="s">
        <v>426</v>
      </c>
      <c r="G8" s="158">
        <v>46327</v>
      </c>
      <c r="H8" s="158">
        <v>46357</v>
      </c>
      <c r="I8" s="156"/>
    </row>
    <row r="9" spans="1:9" ht="18" x14ac:dyDescent="0.3">
      <c r="A9" s="159">
        <v>8</v>
      </c>
      <c r="B9" s="157">
        <v>25911</v>
      </c>
      <c r="C9" s="157" t="s">
        <v>431</v>
      </c>
      <c r="D9" s="157" t="s">
        <v>451</v>
      </c>
      <c r="E9" s="157" t="s">
        <v>442</v>
      </c>
      <c r="F9" s="157" t="s">
        <v>429</v>
      </c>
      <c r="G9" s="158">
        <v>46327</v>
      </c>
      <c r="H9" s="158">
        <v>46357</v>
      </c>
      <c r="I9" s="156"/>
    </row>
    <row r="10" spans="1:9" ht="18" x14ac:dyDescent="0.3">
      <c r="A10" s="159">
        <v>9</v>
      </c>
      <c r="B10" s="157">
        <v>78660</v>
      </c>
      <c r="C10" s="157" t="s">
        <v>443</v>
      </c>
      <c r="D10" s="157" t="s">
        <v>450</v>
      </c>
      <c r="E10" s="157" t="s">
        <v>444</v>
      </c>
      <c r="F10" s="157" t="s">
        <v>445</v>
      </c>
      <c r="G10" s="158">
        <v>46327</v>
      </c>
      <c r="H10" s="158">
        <v>46357</v>
      </c>
      <c r="I10" s="156"/>
    </row>
    <row r="11" spans="1:9" ht="18" x14ac:dyDescent="0.3">
      <c r="A11" s="159">
        <v>10</v>
      </c>
      <c r="B11" s="157">
        <v>78670</v>
      </c>
      <c r="C11" s="157" t="s">
        <v>446</v>
      </c>
      <c r="D11" s="157" t="s">
        <v>451</v>
      </c>
      <c r="E11" s="157" t="s">
        <v>447</v>
      </c>
      <c r="F11" s="157" t="s">
        <v>429</v>
      </c>
      <c r="G11" s="158">
        <v>46327</v>
      </c>
      <c r="H11" s="158">
        <v>46357</v>
      </c>
      <c r="I11" s="156"/>
    </row>
    <row r="12" spans="1:9" x14ac:dyDescent="0.3">
      <c r="A12" s="107"/>
      <c r="B12" s="107"/>
      <c r="C12" s="107"/>
      <c r="D12" s="107"/>
      <c r="E12" s="107"/>
      <c r="F12" s="107"/>
      <c r="G12" s="107"/>
      <c r="H12" s="107"/>
    </row>
  </sheetData>
  <autoFilter ref="A1:H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zoomScale="86" zoomScaleNormal="95" workbookViewId="0">
      <selection activeCell="E2" sqref="E2"/>
    </sheetView>
  </sheetViews>
  <sheetFormatPr defaultRowHeight="14.4" x14ac:dyDescent="0.3"/>
  <cols>
    <col min="1" max="1" width="9" bestFit="1" customWidth="1"/>
    <col min="2" max="2" width="11.5546875" bestFit="1" customWidth="1"/>
    <col min="3" max="3" width="24.6640625" bestFit="1" customWidth="1"/>
    <col min="4" max="4" width="9.44140625" bestFit="1" customWidth="1"/>
    <col min="5" max="5" width="19.88671875" bestFit="1" customWidth="1"/>
    <col min="6" max="6" width="13.21875" bestFit="1" customWidth="1"/>
    <col min="7" max="7" width="22" bestFit="1" customWidth="1"/>
    <col min="8" max="8" width="14.21875" bestFit="1" customWidth="1"/>
    <col min="9" max="9" width="13.88671875" bestFit="1" customWidth="1"/>
  </cols>
  <sheetData>
    <row r="1" spans="1:9" x14ac:dyDescent="0.3">
      <c r="A1" s="170" t="s">
        <v>461</v>
      </c>
    </row>
    <row r="2" spans="1:9" ht="15.6" x14ac:dyDescent="0.3">
      <c r="A2" s="16" t="s">
        <v>5</v>
      </c>
      <c r="B2" s="17" t="s">
        <v>0</v>
      </c>
      <c r="C2" s="18" t="s">
        <v>10</v>
      </c>
      <c r="D2" s="16" t="s">
        <v>1</v>
      </c>
      <c r="E2" s="19" t="s">
        <v>2</v>
      </c>
      <c r="F2" s="19" t="s">
        <v>187</v>
      </c>
      <c r="G2" s="19" t="s">
        <v>4</v>
      </c>
      <c r="H2" s="19" t="s">
        <v>460</v>
      </c>
      <c r="I2" s="119" t="s">
        <v>314</v>
      </c>
    </row>
    <row r="3" spans="1:9" x14ac:dyDescent="0.3">
      <c r="A3" s="20">
        <v>9</v>
      </c>
      <c r="B3" s="20" t="s">
        <v>47</v>
      </c>
      <c r="C3" s="20" t="s">
        <v>28</v>
      </c>
      <c r="D3" s="172" t="s">
        <v>309</v>
      </c>
      <c r="E3" s="171">
        <v>46602</v>
      </c>
      <c r="F3" s="20">
        <v>339</v>
      </c>
      <c r="G3" s="171">
        <v>46633</v>
      </c>
      <c r="H3" s="20">
        <v>370</v>
      </c>
    </row>
    <row r="4" spans="1:9" x14ac:dyDescent="0.3">
      <c r="A4" s="20">
        <v>19</v>
      </c>
      <c r="B4" s="151" t="s">
        <v>27</v>
      </c>
      <c r="C4" s="174" t="s">
        <v>28</v>
      </c>
      <c r="D4" s="172">
        <v>2017</v>
      </c>
      <c r="E4" s="171">
        <v>46293</v>
      </c>
      <c r="F4" s="20">
        <v>30</v>
      </c>
      <c r="G4" s="171">
        <v>46323</v>
      </c>
      <c r="H4" s="20">
        <v>60</v>
      </c>
    </row>
    <row r="5" spans="1:9" x14ac:dyDescent="0.3">
      <c r="A5" s="20">
        <v>22</v>
      </c>
      <c r="B5" s="20" t="s">
        <v>34</v>
      </c>
      <c r="C5" s="20" t="s">
        <v>28</v>
      </c>
      <c r="D5" s="172">
        <v>2018</v>
      </c>
      <c r="E5" s="171">
        <v>46302</v>
      </c>
      <c r="F5" s="20">
        <v>39</v>
      </c>
      <c r="G5" s="171">
        <v>46333</v>
      </c>
      <c r="H5" s="20">
        <v>70</v>
      </c>
    </row>
    <row r="6" spans="1:9" x14ac:dyDescent="0.3">
      <c r="A6" s="20">
        <v>42</v>
      </c>
      <c r="B6" s="20" t="s">
        <v>35</v>
      </c>
      <c r="C6" s="20" t="s">
        <v>28</v>
      </c>
      <c r="D6" s="172">
        <v>2016</v>
      </c>
      <c r="E6" s="171">
        <v>46427</v>
      </c>
      <c r="F6" s="20">
        <v>164</v>
      </c>
      <c r="G6" s="171">
        <v>46455</v>
      </c>
      <c r="H6" s="20">
        <v>192</v>
      </c>
    </row>
    <row r="7" spans="1:9" x14ac:dyDescent="0.3">
      <c r="A7" s="20">
        <v>31</v>
      </c>
      <c r="B7" s="20" t="s">
        <v>207</v>
      </c>
      <c r="C7" s="20" t="s">
        <v>208</v>
      </c>
      <c r="D7" s="172">
        <v>2026</v>
      </c>
      <c r="E7" s="171">
        <v>46349</v>
      </c>
      <c r="F7" s="20">
        <v>86</v>
      </c>
      <c r="G7" s="171">
        <v>46379</v>
      </c>
      <c r="H7" s="20">
        <v>116</v>
      </c>
    </row>
    <row r="8" spans="1:9" x14ac:dyDescent="0.3">
      <c r="A8" s="20">
        <v>35</v>
      </c>
      <c r="B8" s="20" t="s">
        <v>209</v>
      </c>
      <c r="C8" s="20" t="s">
        <v>208</v>
      </c>
      <c r="D8" s="172">
        <v>2026</v>
      </c>
      <c r="E8" s="171">
        <v>46380</v>
      </c>
      <c r="F8" s="20">
        <v>117</v>
      </c>
      <c r="G8" s="171">
        <v>46411</v>
      </c>
      <c r="H8" s="20">
        <v>148</v>
      </c>
    </row>
    <row r="9" spans="1:9" x14ac:dyDescent="0.3">
      <c r="A9" s="20">
        <v>44</v>
      </c>
      <c r="B9" s="20" t="s">
        <v>224</v>
      </c>
      <c r="C9" s="20" t="s">
        <v>208</v>
      </c>
      <c r="D9" s="172">
        <v>2026</v>
      </c>
      <c r="E9" s="171">
        <v>46441</v>
      </c>
      <c r="F9" s="20">
        <v>178</v>
      </c>
      <c r="G9" s="171">
        <v>46469</v>
      </c>
      <c r="H9" s="20">
        <v>206</v>
      </c>
    </row>
    <row r="10" spans="1:9" x14ac:dyDescent="0.3">
      <c r="A10" s="20">
        <v>45</v>
      </c>
      <c r="B10" s="20" t="s">
        <v>225</v>
      </c>
      <c r="C10" s="20" t="s">
        <v>208</v>
      </c>
      <c r="D10" s="172">
        <v>2026</v>
      </c>
      <c r="E10" s="171">
        <v>46441</v>
      </c>
      <c r="F10" s="20">
        <v>178</v>
      </c>
      <c r="G10" s="171">
        <v>46469</v>
      </c>
      <c r="H10" s="20">
        <v>206</v>
      </c>
    </row>
    <row r="11" spans="1:9" x14ac:dyDescent="0.3">
      <c r="A11" s="20">
        <v>46</v>
      </c>
      <c r="B11" s="20" t="s">
        <v>223</v>
      </c>
      <c r="C11" s="20" t="s">
        <v>208</v>
      </c>
      <c r="D11" s="172">
        <v>2026</v>
      </c>
      <c r="E11" s="171">
        <v>46441</v>
      </c>
      <c r="F11" s="20">
        <v>178</v>
      </c>
      <c r="G11" s="171">
        <v>46469</v>
      </c>
      <c r="H11" s="20">
        <v>206</v>
      </c>
    </row>
    <row r="12" spans="1:9" x14ac:dyDescent="0.3">
      <c r="A12" s="20">
        <v>1</v>
      </c>
      <c r="B12" s="20" t="s">
        <v>147</v>
      </c>
      <c r="C12" s="20" t="s">
        <v>24</v>
      </c>
      <c r="D12" s="172">
        <v>2025</v>
      </c>
      <c r="E12" s="171">
        <v>46570</v>
      </c>
      <c r="F12" s="20">
        <v>307</v>
      </c>
      <c r="G12" s="171">
        <v>46601</v>
      </c>
      <c r="H12" s="20">
        <v>338</v>
      </c>
    </row>
    <row r="13" spans="1:9" x14ac:dyDescent="0.3">
      <c r="A13" s="20">
        <v>2</v>
      </c>
      <c r="B13" s="20" t="s">
        <v>148</v>
      </c>
      <c r="C13" s="20" t="s">
        <v>24</v>
      </c>
      <c r="D13" s="172">
        <v>2025</v>
      </c>
      <c r="E13" s="171">
        <v>46570</v>
      </c>
      <c r="F13" s="20">
        <v>307</v>
      </c>
      <c r="G13" s="171">
        <v>46601</v>
      </c>
      <c r="H13" s="20">
        <v>338</v>
      </c>
    </row>
    <row r="14" spans="1:9" x14ac:dyDescent="0.3">
      <c r="A14" s="20">
        <v>3</v>
      </c>
      <c r="B14" s="20" t="s">
        <v>149</v>
      </c>
      <c r="C14" s="20" t="s">
        <v>24</v>
      </c>
      <c r="D14" s="172">
        <v>2025</v>
      </c>
      <c r="E14" s="171">
        <v>46544</v>
      </c>
      <c r="F14" s="20">
        <v>281</v>
      </c>
      <c r="G14" s="171">
        <v>46574</v>
      </c>
      <c r="H14" s="20">
        <v>311</v>
      </c>
    </row>
    <row r="15" spans="1:9" x14ac:dyDescent="0.3">
      <c r="A15" s="20">
        <v>8</v>
      </c>
      <c r="B15" s="20" t="s">
        <v>36</v>
      </c>
      <c r="C15" s="20" t="s">
        <v>24</v>
      </c>
      <c r="D15" s="172">
        <v>2019</v>
      </c>
      <c r="E15" s="171">
        <v>46582</v>
      </c>
      <c r="F15" s="20">
        <v>319</v>
      </c>
      <c r="G15" s="171">
        <v>46613</v>
      </c>
      <c r="H15" s="20">
        <v>350</v>
      </c>
    </row>
    <row r="16" spans="1:9" x14ac:dyDescent="0.3">
      <c r="A16" s="20">
        <v>21</v>
      </c>
      <c r="B16" s="20" t="s">
        <v>126</v>
      </c>
      <c r="C16" s="20" t="s">
        <v>24</v>
      </c>
      <c r="D16" s="172">
        <v>2024</v>
      </c>
      <c r="E16" s="171">
        <v>46297</v>
      </c>
      <c r="F16" s="20">
        <v>34</v>
      </c>
      <c r="G16" s="171">
        <v>46328</v>
      </c>
      <c r="H16" s="20">
        <v>65</v>
      </c>
    </row>
    <row r="17" spans="1:9" x14ac:dyDescent="0.3">
      <c r="A17" s="20">
        <v>33</v>
      </c>
      <c r="B17" s="20" t="s">
        <v>23</v>
      </c>
      <c r="C17" s="20" t="s">
        <v>24</v>
      </c>
      <c r="D17" s="172">
        <v>2019</v>
      </c>
      <c r="E17" s="171">
        <v>46379</v>
      </c>
      <c r="F17" s="20">
        <v>116</v>
      </c>
      <c r="G17" s="171">
        <v>46410</v>
      </c>
      <c r="H17" s="20">
        <v>147</v>
      </c>
    </row>
    <row r="18" spans="1:9" x14ac:dyDescent="0.3">
      <c r="A18" s="20">
        <v>34</v>
      </c>
      <c r="B18" s="20" t="s">
        <v>118</v>
      </c>
      <c r="C18" s="20" t="s">
        <v>24</v>
      </c>
      <c r="D18" s="172">
        <v>2025</v>
      </c>
      <c r="E18" s="171">
        <v>46380</v>
      </c>
      <c r="F18" s="20">
        <v>117</v>
      </c>
      <c r="G18" s="171">
        <v>46411</v>
      </c>
      <c r="H18" s="20">
        <v>148</v>
      </c>
    </row>
    <row r="19" spans="1:9" x14ac:dyDescent="0.3">
      <c r="A19" s="20">
        <v>36</v>
      </c>
      <c r="B19" s="20" t="s">
        <v>117</v>
      </c>
      <c r="C19" s="20" t="s">
        <v>24</v>
      </c>
      <c r="D19" s="172">
        <v>2025</v>
      </c>
      <c r="E19" s="171">
        <v>46384</v>
      </c>
      <c r="F19" s="20">
        <v>121</v>
      </c>
      <c r="G19" s="171">
        <v>46415</v>
      </c>
      <c r="H19" s="20">
        <v>152</v>
      </c>
    </row>
    <row r="20" spans="1:9" x14ac:dyDescent="0.3">
      <c r="A20" s="20">
        <v>47</v>
      </c>
      <c r="B20" s="20" t="s">
        <v>131</v>
      </c>
      <c r="C20" s="20" t="s">
        <v>24</v>
      </c>
      <c r="D20" s="172">
        <v>2025</v>
      </c>
      <c r="E20" s="171">
        <v>46457</v>
      </c>
      <c r="F20" s="20">
        <v>194</v>
      </c>
      <c r="G20" s="171">
        <v>46488</v>
      </c>
      <c r="H20" s="20">
        <v>225</v>
      </c>
    </row>
    <row r="21" spans="1:9" x14ac:dyDescent="0.3">
      <c r="A21" s="20">
        <v>49</v>
      </c>
      <c r="B21" s="20" t="s">
        <v>25</v>
      </c>
      <c r="C21" s="20" t="s">
        <v>24</v>
      </c>
      <c r="D21" s="172">
        <v>2024</v>
      </c>
      <c r="E21" s="171">
        <v>46511</v>
      </c>
      <c r="F21" s="20">
        <v>248</v>
      </c>
      <c r="G21" s="171">
        <v>46542</v>
      </c>
      <c r="H21" s="20">
        <v>279</v>
      </c>
    </row>
    <row r="22" spans="1:9" x14ac:dyDescent="0.3">
      <c r="A22" s="20">
        <v>50</v>
      </c>
      <c r="B22" s="20" t="s">
        <v>26</v>
      </c>
      <c r="C22" s="20" t="s">
        <v>24</v>
      </c>
      <c r="D22" s="172">
        <v>2023</v>
      </c>
      <c r="E22" s="171">
        <v>46521</v>
      </c>
      <c r="F22" s="20">
        <v>258</v>
      </c>
      <c r="G22" s="171">
        <v>46521</v>
      </c>
      <c r="H22" s="20">
        <v>258</v>
      </c>
    </row>
    <row r="23" spans="1:9" x14ac:dyDescent="0.3">
      <c r="A23" s="20">
        <v>52</v>
      </c>
      <c r="B23" s="20" t="s">
        <v>327</v>
      </c>
      <c r="C23" s="20" t="s">
        <v>326</v>
      </c>
      <c r="D23" s="172">
        <v>2025</v>
      </c>
      <c r="E23" s="171">
        <v>46380</v>
      </c>
      <c r="F23" s="20">
        <v>117</v>
      </c>
      <c r="G23" s="171">
        <v>46411</v>
      </c>
      <c r="H23" s="20">
        <v>148</v>
      </c>
    </row>
    <row r="24" spans="1:9" x14ac:dyDescent="0.3">
      <c r="A24" s="20">
        <v>53</v>
      </c>
      <c r="B24" s="20" t="s">
        <v>328</v>
      </c>
      <c r="C24" s="20" t="s">
        <v>326</v>
      </c>
      <c r="D24" s="172">
        <v>2025</v>
      </c>
      <c r="E24" s="171">
        <v>46380</v>
      </c>
      <c r="F24" s="20">
        <v>117</v>
      </c>
      <c r="G24" s="171">
        <v>46411</v>
      </c>
      <c r="H24" s="20">
        <v>148</v>
      </c>
    </row>
    <row r="25" spans="1:9" x14ac:dyDescent="0.3">
      <c r="A25" s="20">
        <v>54</v>
      </c>
      <c r="B25" s="20" t="s">
        <v>329</v>
      </c>
      <c r="C25" s="20" t="s">
        <v>326</v>
      </c>
      <c r="D25" s="172">
        <v>2025</v>
      </c>
      <c r="E25" s="171">
        <v>46380</v>
      </c>
      <c r="F25" s="20">
        <v>117</v>
      </c>
      <c r="G25" s="171">
        <v>46412</v>
      </c>
      <c r="H25" s="20">
        <v>207</v>
      </c>
    </row>
    <row r="26" spans="1:9" x14ac:dyDescent="0.3">
      <c r="A26" s="20">
        <v>29</v>
      </c>
      <c r="B26" s="20" t="s">
        <v>45</v>
      </c>
      <c r="C26" s="20" t="s">
        <v>199</v>
      </c>
      <c r="D26" s="172">
        <v>2024</v>
      </c>
      <c r="E26" s="171">
        <v>46323</v>
      </c>
      <c r="F26" s="20">
        <v>60</v>
      </c>
      <c r="G26" s="171">
        <v>46354</v>
      </c>
      <c r="H26" s="20">
        <v>91</v>
      </c>
    </row>
    <row r="27" spans="1:9" x14ac:dyDescent="0.3">
      <c r="A27" s="20">
        <v>14</v>
      </c>
      <c r="B27" s="20" t="s">
        <v>216</v>
      </c>
      <c r="C27" s="20" t="s">
        <v>133</v>
      </c>
      <c r="D27" s="172">
        <v>2026</v>
      </c>
      <c r="E27" s="171">
        <v>46630</v>
      </c>
      <c r="F27" s="20">
        <v>-5</v>
      </c>
      <c r="G27" s="171">
        <v>46660</v>
      </c>
      <c r="H27" s="20">
        <v>26</v>
      </c>
    </row>
    <row r="28" spans="1:9" x14ac:dyDescent="0.3">
      <c r="A28" s="20">
        <v>20</v>
      </c>
      <c r="B28" s="20" t="s">
        <v>325</v>
      </c>
      <c r="C28" s="20" t="s">
        <v>29</v>
      </c>
      <c r="D28" s="172">
        <v>2023</v>
      </c>
      <c r="E28" s="171">
        <v>46297</v>
      </c>
      <c r="F28" s="20">
        <v>34</v>
      </c>
      <c r="G28" s="171">
        <v>46328</v>
      </c>
      <c r="H28" s="20">
        <v>65</v>
      </c>
    </row>
    <row r="29" spans="1:9" x14ac:dyDescent="0.3">
      <c r="A29" s="20">
        <v>37</v>
      </c>
      <c r="B29" s="20" t="s">
        <v>38</v>
      </c>
      <c r="C29" s="20" t="s">
        <v>158</v>
      </c>
      <c r="D29" s="172">
        <v>2014</v>
      </c>
      <c r="E29" s="171">
        <v>46407</v>
      </c>
      <c r="F29" s="20">
        <v>144</v>
      </c>
      <c r="G29" s="171">
        <v>46438</v>
      </c>
      <c r="H29" s="20">
        <v>175</v>
      </c>
    </row>
    <row r="30" spans="1:9" x14ac:dyDescent="0.3">
      <c r="A30" s="20">
        <v>30</v>
      </c>
      <c r="B30" s="20" t="s">
        <v>7</v>
      </c>
      <c r="C30" s="20" t="s">
        <v>6</v>
      </c>
      <c r="D30" s="172">
        <v>2008</v>
      </c>
      <c r="E30" s="171">
        <v>46331</v>
      </c>
      <c r="F30" s="20">
        <v>68</v>
      </c>
      <c r="G30" s="171">
        <v>46361</v>
      </c>
      <c r="H30" s="20">
        <v>98</v>
      </c>
    </row>
    <row r="31" spans="1:9" x14ac:dyDescent="0.3">
      <c r="A31" s="20">
        <v>10</v>
      </c>
      <c r="B31" s="177" t="s">
        <v>37</v>
      </c>
      <c r="C31" s="174" t="s">
        <v>116</v>
      </c>
      <c r="D31" s="172">
        <v>2015</v>
      </c>
      <c r="E31" s="171">
        <v>46219</v>
      </c>
      <c r="F31" s="20">
        <v>-44</v>
      </c>
      <c r="G31" s="171">
        <v>46250</v>
      </c>
      <c r="H31" s="20">
        <v>-13</v>
      </c>
      <c r="I31" t="s">
        <v>466</v>
      </c>
    </row>
    <row r="32" spans="1:9" x14ac:dyDescent="0.3">
      <c r="A32" s="20">
        <v>17</v>
      </c>
      <c r="B32" s="151" t="s">
        <v>21</v>
      </c>
      <c r="C32" s="20" t="s">
        <v>22</v>
      </c>
      <c r="D32" s="172">
        <v>2008</v>
      </c>
      <c r="E32" s="171">
        <v>46644</v>
      </c>
      <c r="F32" s="20">
        <v>4</v>
      </c>
      <c r="G32" s="171">
        <v>46674</v>
      </c>
      <c r="H32" s="20">
        <v>34</v>
      </c>
    </row>
    <row r="33" spans="1:9" x14ac:dyDescent="0.3">
      <c r="A33" s="20">
        <v>48</v>
      </c>
      <c r="B33" s="20" t="s">
        <v>130</v>
      </c>
      <c r="C33" s="20" t="s">
        <v>226</v>
      </c>
      <c r="D33" s="172">
        <v>2025</v>
      </c>
      <c r="E33" s="171">
        <v>46483</v>
      </c>
      <c r="F33" s="20">
        <v>220</v>
      </c>
      <c r="G33" s="171">
        <v>46513</v>
      </c>
      <c r="H33" s="20">
        <v>250</v>
      </c>
    </row>
    <row r="34" spans="1:9" x14ac:dyDescent="0.3">
      <c r="A34" s="20">
        <v>7</v>
      </c>
      <c r="B34" s="20" t="s">
        <v>8</v>
      </c>
      <c r="C34" s="20" t="s">
        <v>9</v>
      </c>
      <c r="D34" s="172">
        <v>2013</v>
      </c>
      <c r="E34" s="171">
        <v>46562</v>
      </c>
      <c r="F34" s="20">
        <v>299</v>
      </c>
      <c r="G34" s="171">
        <v>46592</v>
      </c>
      <c r="H34" s="20">
        <v>329</v>
      </c>
    </row>
    <row r="35" spans="1:9" x14ac:dyDescent="0.3">
      <c r="A35" s="20">
        <v>13</v>
      </c>
      <c r="B35" s="20" t="s">
        <v>19</v>
      </c>
      <c r="C35" s="20" t="s">
        <v>14</v>
      </c>
      <c r="D35" s="172">
        <v>2019</v>
      </c>
      <c r="E35" s="171">
        <v>46615</v>
      </c>
      <c r="F35" s="20">
        <v>352</v>
      </c>
      <c r="G35" s="171">
        <v>46646</v>
      </c>
      <c r="H35" s="20">
        <v>383</v>
      </c>
    </row>
    <row r="36" spans="1:9" x14ac:dyDescent="0.3">
      <c r="A36" s="20">
        <v>5</v>
      </c>
      <c r="B36" s="20" t="s">
        <v>153</v>
      </c>
      <c r="C36" s="20" t="s">
        <v>12</v>
      </c>
      <c r="D36" s="172">
        <v>2025</v>
      </c>
      <c r="E36" s="171">
        <v>46570</v>
      </c>
      <c r="F36" s="20">
        <v>307</v>
      </c>
      <c r="G36" s="171">
        <v>46601</v>
      </c>
      <c r="H36" s="20">
        <v>338</v>
      </c>
    </row>
    <row r="37" spans="1:9" x14ac:dyDescent="0.3">
      <c r="A37" s="20">
        <v>6</v>
      </c>
      <c r="B37" s="20" t="s">
        <v>154</v>
      </c>
      <c r="C37" s="20" t="s">
        <v>12</v>
      </c>
      <c r="D37" s="172">
        <v>2025</v>
      </c>
      <c r="E37" s="171">
        <v>46582</v>
      </c>
      <c r="F37" s="20">
        <v>319</v>
      </c>
      <c r="G37" s="171">
        <v>46613</v>
      </c>
      <c r="H37" s="20">
        <v>350</v>
      </c>
    </row>
    <row r="38" spans="1:9" x14ac:dyDescent="0.3">
      <c r="A38" s="20">
        <v>11</v>
      </c>
      <c r="B38" s="20" t="s">
        <v>11</v>
      </c>
      <c r="C38" s="20" t="s">
        <v>12</v>
      </c>
      <c r="D38" s="172">
        <v>2019</v>
      </c>
      <c r="E38" s="171">
        <v>46608</v>
      </c>
      <c r="F38" s="20">
        <v>345</v>
      </c>
      <c r="G38" s="171">
        <v>46639</v>
      </c>
      <c r="H38" s="20">
        <v>376</v>
      </c>
    </row>
    <row r="39" spans="1:9" x14ac:dyDescent="0.3">
      <c r="A39" s="20">
        <v>12</v>
      </c>
      <c r="B39" s="20" t="s">
        <v>159</v>
      </c>
      <c r="C39" s="20" t="s">
        <v>12</v>
      </c>
      <c r="D39" s="172">
        <v>2025</v>
      </c>
      <c r="E39" s="171">
        <v>46602</v>
      </c>
      <c r="F39" s="20">
        <v>339</v>
      </c>
      <c r="G39" s="171">
        <v>46633</v>
      </c>
      <c r="H39" s="20">
        <v>370</v>
      </c>
    </row>
    <row r="40" spans="1:9" x14ac:dyDescent="0.3">
      <c r="A40" s="20">
        <v>18</v>
      </c>
      <c r="B40" s="177" t="s">
        <v>20</v>
      </c>
      <c r="C40" s="174" t="s">
        <v>12</v>
      </c>
      <c r="D40" s="172">
        <v>2019</v>
      </c>
      <c r="E40" s="171">
        <v>46274</v>
      </c>
      <c r="F40" s="20">
        <v>11</v>
      </c>
      <c r="G40" s="171">
        <v>46304</v>
      </c>
      <c r="H40" s="20">
        <v>41</v>
      </c>
      <c r="I40" t="s">
        <v>465</v>
      </c>
    </row>
    <row r="41" spans="1:9" x14ac:dyDescent="0.3">
      <c r="A41" s="20">
        <v>23</v>
      </c>
      <c r="B41" s="20" t="s">
        <v>192</v>
      </c>
      <c r="C41" s="20" t="s">
        <v>12</v>
      </c>
      <c r="D41" s="172">
        <v>2025</v>
      </c>
      <c r="E41" s="171">
        <v>46315</v>
      </c>
      <c r="F41" s="20">
        <v>52</v>
      </c>
      <c r="G41" s="171">
        <v>46346</v>
      </c>
      <c r="H41" s="20">
        <v>83</v>
      </c>
    </row>
    <row r="42" spans="1:9" x14ac:dyDescent="0.3">
      <c r="A42" s="20">
        <v>24</v>
      </c>
      <c r="B42" s="20" t="s">
        <v>193</v>
      </c>
      <c r="C42" s="20" t="s">
        <v>12</v>
      </c>
      <c r="D42" s="172">
        <v>2025</v>
      </c>
      <c r="E42" s="171">
        <v>46315</v>
      </c>
      <c r="F42" s="20">
        <v>52</v>
      </c>
      <c r="G42" s="171">
        <v>46346</v>
      </c>
      <c r="H42" s="20">
        <v>83</v>
      </c>
    </row>
    <row r="43" spans="1:9" x14ac:dyDescent="0.3">
      <c r="A43" s="20">
        <v>51</v>
      </c>
      <c r="B43" s="20" t="s">
        <v>136</v>
      </c>
      <c r="C43" s="20" t="s">
        <v>12</v>
      </c>
      <c r="D43" s="172">
        <v>2024</v>
      </c>
      <c r="E43" s="171">
        <v>46519</v>
      </c>
      <c r="F43" s="20">
        <v>256</v>
      </c>
      <c r="G43" s="171">
        <v>46550</v>
      </c>
      <c r="H43" s="20">
        <v>287</v>
      </c>
    </row>
    <row r="44" spans="1:9" x14ac:dyDescent="0.3">
      <c r="A44" s="20">
        <v>16</v>
      </c>
      <c r="B44" s="177" t="s">
        <v>17</v>
      </c>
      <c r="C44" s="20" t="s">
        <v>18</v>
      </c>
      <c r="D44" s="172">
        <v>2009</v>
      </c>
      <c r="E44" s="171">
        <v>46653</v>
      </c>
      <c r="F44" s="20">
        <v>-2</v>
      </c>
      <c r="G44" s="171">
        <v>46683</v>
      </c>
      <c r="H44" s="20">
        <v>29</v>
      </c>
    </row>
    <row r="45" spans="1:9" x14ac:dyDescent="0.3">
      <c r="A45" s="20">
        <v>26</v>
      </c>
      <c r="B45" s="20" t="s">
        <v>30</v>
      </c>
      <c r="C45" s="20" t="s">
        <v>18</v>
      </c>
      <c r="D45" s="172">
        <v>2009</v>
      </c>
      <c r="E45" s="171">
        <v>46323</v>
      </c>
      <c r="F45" s="20">
        <v>60</v>
      </c>
      <c r="G45" s="171">
        <v>46354</v>
      </c>
      <c r="H45" s="20">
        <v>91</v>
      </c>
    </row>
    <row r="46" spans="1:9" x14ac:dyDescent="0.3">
      <c r="A46" s="20">
        <v>25</v>
      </c>
      <c r="B46" s="20" t="s">
        <v>222</v>
      </c>
      <c r="C46" s="20" t="s">
        <v>220</v>
      </c>
      <c r="D46" s="172">
        <v>2018</v>
      </c>
      <c r="E46" s="171">
        <v>46317</v>
      </c>
      <c r="F46" s="20">
        <v>54</v>
      </c>
      <c r="G46" s="171">
        <v>46348</v>
      </c>
      <c r="H46" s="20">
        <v>85</v>
      </c>
    </row>
    <row r="47" spans="1:9" x14ac:dyDescent="0.3">
      <c r="A47" s="20">
        <v>41</v>
      </c>
      <c r="B47" s="20" t="s">
        <v>219</v>
      </c>
      <c r="C47" s="20" t="s">
        <v>220</v>
      </c>
      <c r="D47" s="172" t="s">
        <v>221</v>
      </c>
      <c r="E47" s="171">
        <v>46419</v>
      </c>
      <c r="F47" s="20">
        <v>156</v>
      </c>
      <c r="G47" s="171">
        <v>46447</v>
      </c>
      <c r="H47" s="20">
        <v>184</v>
      </c>
    </row>
    <row r="48" spans="1:9" x14ac:dyDescent="0.3">
      <c r="A48" s="20">
        <v>28</v>
      </c>
      <c r="B48" s="20" t="s">
        <v>32</v>
      </c>
      <c r="C48" s="20" t="s">
        <v>190</v>
      </c>
      <c r="D48" s="172">
        <v>2021</v>
      </c>
      <c r="E48" s="171">
        <v>46323</v>
      </c>
      <c r="F48" s="20">
        <v>60</v>
      </c>
      <c r="G48" s="171">
        <v>46354</v>
      </c>
      <c r="H48" s="20">
        <v>91</v>
      </c>
    </row>
    <row r="49" spans="1:8" x14ac:dyDescent="0.3">
      <c r="A49" s="20">
        <v>32</v>
      </c>
      <c r="B49" s="20" t="s">
        <v>210</v>
      </c>
      <c r="C49" s="20" t="s">
        <v>190</v>
      </c>
      <c r="D49" s="172">
        <v>2025</v>
      </c>
      <c r="E49" s="171">
        <v>46354</v>
      </c>
      <c r="F49" s="20">
        <v>91</v>
      </c>
      <c r="G49" s="171">
        <v>46384</v>
      </c>
      <c r="H49" s="20">
        <v>121</v>
      </c>
    </row>
    <row r="50" spans="1:8" x14ac:dyDescent="0.3">
      <c r="A50" s="20">
        <v>38</v>
      </c>
      <c r="B50" s="20" t="s">
        <v>39</v>
      </c>
      <c r="C50" s="20" t="s">
        <v>40</v>
      </c>
      <c r="D50" s="172">
        <v>2022</v>
      </c>
      <c r="E50" s="171">
        <v>46414</v>
      </c>
      <c r="F50" s="20">
        <v>151</v>
      </c>
      <c r="G50" s="171">
        <v>46445</v>
      </c>
      <c r="H50" s="20">
        <v>182</v>
      </c>
    </row>
    <row r="51" spans="1:8" x14ac:dyDescent="0.3">
      <c r="A51" s="20">
        <v>40</v>
      </c>
      <c r="B51" s="20" t="s">
        <v>43</v>
      </c>
      <c r="C51" s="20" t="s">
        <v>191</v>
      </c>
      <c r="D51" s="172">
        <v>2023</v>
      </c>
      <c r="E51" s="171">
        <v>46414</v>
      </c>
      <c r="F51" s="20">
        <v>151</v>
      </c>
      <c r="G51" s="171">
        <v>46445</v>
      </c>
      <c r="H51" s="20">
        <v>182</v>
      </c>
    </row>
    <row r="52" spans="1:8" x14ac:dyDescent="0.3">
      <c r="A52" s="20">
        <v>39</v>
      </c>
      <c r="B52" s="20" t="s">
        <v>41</v>
      </c>
      <c r="C52" s="20" t="s">
        <v>42</v>
      </c>
      <c r="D52" s="172">
        <v>2023</v>
      </c>
      <c r="E52" s="171">
        <v>46414</v>
      </c>
      <c r="F52" s="20">
        <v>151</v>
      </c>
      <c r="G52" s="171">
        <v>46445</v>
      </c>
      <c r="H52" s="20">
        <v>182</v>
      </c>
    </row>
    <row r="53" spans="1:8" x14ac:dyDescent="0.3">
      <c r="A53" s="20">
        <v>4</v>
      </c>
      <c r="B53" s="20" t="s">
        <v>114</v>
      </c>
      <c r="C53" s="20" t="s">
        <v>115</v>
      </c>
      <c r="D53" s="172">
        <v>2024</v>
      </c>
      <c r="E53" s="171">
        <v>46582</v>
      </c>
      <c r="F53" s="20">
        <v>319</v>
      </c>
      <c r="G53" s="171">
        <v>46613</v>
      </c>
      <c r="H53" s="20">
        <v>350</v>
      </c>
    </row>
    <row r="54" spans="1:8" x14ac:dyDescent="0.3">
      <c r="A54" s="20">
        <v>43</v>
      </c>
      <c r="B54" s="20" t="s">
        <v>125</v>
      </c>
      <c r="C54" s="20" t="s">
        <v>115</v>
      </c>
      <c r="D54" s="172">
        <v>2024</v>
      </c>
      <c r="E54" s="171">
        <v>46430</v>
      </c>
      <c r="F54" s="20">
        <v>167</v>
      </c>
      <c r="G54" s="171">
        <v>46458</v>
      </c>
      <c r="H54" s="20">
        <v>195</v>
      </c>
    </row>
    <row r="55" spans="1:8" x14ac:dyDescent="0.3">
      <c r="A55" s="20">
        <v>55</v>
      </c>
      <c r="B55" s="20" t="s">
        <v>458</v>
      </c>
      <c r="C55" s="20" t="s">
        <v>115</v>
      </c>
      <c r="D55" s="172">
        <v>2026</v>
      </c>
      <c r="E55" s="171">
        <v>46623</v>
      </c>
      <c r="F55" s="20">
        <v>360</v>
      </c>
      <c r="G55" s="171">
        <v>46654</v>
      </c>
      <c r="H55" s="20">
        <v>391</v>
      </c>
    </row>
    <row r="56" spans="1:8" x14ac:dyDescent="0.3">
      <c r="A56" s="20">
        <v>56</v>
      </c>
      <c r="B56" s="20" t="s">
        <v>459</v>
      </c>
      <c r="C56" s="20" t="s">
        <v>115</v>
      </c>
      <c r="D56" s="172">
        <v>2026</v>
      </c>
      <c r="E56" s="171">
        <v>46623</v>
      </c>
      <c r="F56" s="20">
        <v>360</v>
      </c>
      <c r="G56" s="171">
        <v>46654</v>
      </c>
      <c r="H56" s="20">
        <v>391</v>
      </c>
    </row>
    <row r="57" spans="1:8" x14ac:dyDescent="0.3">
      <c r="A57" s="20">
        <v>15</v>
      </c>
      <c r="B57" s="177" t="s">
        <v>15</v>
      </c>
      <c r="C57" s="20" t="s">
        <v>16</v>
      </c>
      <c r="D57" s="172">
        <v>2006</v>
      </c>
      <c r="E57" s="171">
        <v>46653</v>
      </c>
      <c r="F57" s="20">
        <v>-4</v>
      </c>
      <c r="G57" s="171">
        <v>46683</v>
      </c>
      <c r="H57" s="20">
        <v>27</v>
      </c>
    </row>
    <row r="58" spans="1:8" x14ac:dyDescent="0.3">
      <c r="A58" s="20">
        <v>27</v>
      </c>
      <c r="B58" s="20" t="s">
        <v>31</v>
      </c>
      <c r="C58" s="20" t="s">
        <v>16</v>
      </c>
      <c r="D58" s="172">
        <v>2006</v>
      </c>
      <c r="E58" s="171">
        <v>46323</v>
      </c>
      <c r="F58" s="20">
        <v>60</v>
      </c>
      <c r="G58" s="171">
        <v>46354</v>
      </c>
      <c r="H58" s="20">
        <v>91</v>
      </c>
    </row>
  </sheetData>
  <phoneticPr fontId="18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E28" sqref="E28"/>
    </sheetView>
  </sheetViews>
  <sheetFormatPr defaultRowHeight="14.4" x14ac:dyDescent="0.3"/>
  <cols>
    <col min="1" max="1" width="9" bestFit="1" customWidth="1"/>
    <col min="2" max="2" width="11.5546875" bestFit="1" customWidth="1"/>
    <col min="3" max="3" width="19.88671875" bestFit="1" customWidth="1"/>
    <col min="4" max="4" width="9.44140625" bestFit="1" customWidth="1"/>
    <col min="5" max="5" width="19.88671875" bestFit="1" customWidth="1"/>
    <col min="6" max="6" width="13.21875" bestFit="1" customWidth="1"/>
    <col min="7" max="7" width="22" bestFit="1" customWidth="1"/>
    <col min="8" max="8" width="14.21875" bestFit="1" customWidth="1"/>
  </cols>
  <sheetData>
    <row r="1" spans="1:8" x14ac:dyDescent="0.3">
      <c r="A1" s="170" t="s">
        <v>461</v>
      </c>
    </row>
    <row r="3" spans="1:8" x14ac:dyDescent="0.3">
      <c r="A3" s="20" t="s">
        <v>5</v>
      </c>
      <c r="B3" s="20" t="s">
        <v>0</v>
      </c>
      <c r="C3" s="20" t="s">
        <v>10</v>
      </c>
      <c r="D3" s="20" t="s">
        <v>1</v>
      </c>
      <c r="E3" s="20" t="s">
        <v>2</v>
      </c>
      <c r="F3" s="20" t="s">
        <v>187</v>
      </c>
      <c r="G3" s="20" t="s">
        <v>4</v>
      </c>
      <c r="H3" s="20" t="s">
        <v>460</v>
      </c>
    </row>
    <row r="4" spans="1:8" x14ac:dyDescent="0.3">
      <c r="A4" s="20">
        <v>21</v>
      </c>
      <c r="B4" s="20" t="s">
        <v>318</v>
      </c>
      <c r="C4" s="20" t="s">
        <v>317</v>
      </c>
      <c r="D4" s="20">
        <v>1984</v>
      </c>
      <c r="E4" s="171">
        <v>46008</v>
      </c>
      <c r="F4" s="20">
        <v>-266</v>
      </c>
      <c r="G4" s="171">
        <v>46039</v>
      </c>
      <c r="H4" s="20">
        <v>-235</v>
      </c>
    </row>
    <row r="5" spans="1:8" x14ac:dyDescent="0.3">
      <c r="A5" s="20">
        <v>2</v>
      </c>
      <c r="B5" s="20" t="s">
        <v>50</v>
      </c>
      <c r="C5" s="20" t="s">
        <v>51</v>
      </c>
      <c r="D5" s="20">
        <v>2009</v>
      </c>
      <c r="E5" s="171">
        <v>46623</v>
      </c>
      <c r="F5" s="20">
        <v>349</v>
      </c>
      <c r="G5" s="171">
        <v>46654</v>
      </c>
      <c r="H5" s="20">
        <v>380</v>
      </c>
    </row>
    <row r="6" spans="1:8" x14ac:dyDescent="0.3">
      <c r="A6" s="20">
        <v>4</v>
      </c>
      <c r="B6" s="20" t="s">
        <v>68</v>
      </c>
      <c r="C6" s="20" t="s">
        <v>24</v>
      </c>
      <c r="D6" s="20">
        <v>2009</v>
      </c>
      <c r="E6" s="171">
        <v>46237</v>
      </c>
      <c r="F6" s="20">
        <v>-37</v>
      </c>
      <c r="G6" s="171">
        <v>46268</v>
      </c>
      <c r="H6" s="20">
        <v>-6</v>
      </c>
    </row>
    <row r="7" spans="1:8" x14ac:dyDescent="0.3">
      <c r="A7" s="20">
        <v>14</v>
      </c>
      <c r="B7" s="20" t="s">
        <v>63</v>
      </c>
      <c r="C7" s="20" t="s">
        <v>6</v>
      </c>
      <c r="D7" s="20">
        <v>2010</v>
      </c>
      <c r="E7" s="171">
        <v>46388</v>
      </c>
      <c r="F7" s="20">
        <v>114</v>
      </c>
      <c r="G7" s="171">
        <v>46419</v>
      </c>
      <c r="H7" s="20">
        <v>145</v>
      </c>
    </row>
    <row r="8" spans="1:8" x14ac:dyDescent="0.3">
      <c r="A8" s="20">
        <v>17</v>
      </c>
      <c r="B8" s="20" t="s">
        <v>67</v>
      </c>
      <c r="C8" s="20" t="s">
        <v>217</v>
      </c>
      <c r="D8" s="20">
        <v>2017</v>
      </c>
      <c r="E8" s="171">
        <v>46436</v>
      </c>
      <c r="F8" s="20">
        <v>162</v>
      </c>
      <c r="G8" s="171">
        <v>46464</v>
      </c>
      <c r="H8" s="20">
        <v>190</v>
      </c>
    </row>
    <row r="9" spans="1:8" x14ac:dyDescent="0.3">
      <c r="A9" s="20">
        <v>19</v>
      </c>
      <c r="B9" s="20" t="s">
        <v>70</v>
      </c>
      <c r="C9" s="20" t="s">
        <v>218</v>
      </c>
      <c r="D9" s="20">
        <v>2016</v>
      </c>
      <c r="E9" s="171">
        <v>46503</v>
      </c>
      <c r="F9" s="20">
        <v>229</v>
      </c>
      <c r="G9" s="171">
        <v>46533</v>
      </c>
      <c r="H9" s="20">
        <v>259</v>
      </c>
    </row>
    <row r="10" spans="1:8" x14ac:dyDescent="0.3">
      <c r="A10" s="20">
        <v>15</v>
      </c>
      <c r="B10" s="20" t="s">
        <v>65</v>
      </c>
      <c r="C10" s="20" t="s">
        <v>157</v>
      </c>
      <c r="D10" s="20">
        <v>2008</v>
      </c>
      <c r="E10" s="171">
        <v>46391</v>
      </c>
      <c r="F10" s="20">
        <v>117</v>
      </c>
      <c r="G10" s="171">
        <v>46422</v>
      </c>
      <c r="H10" s="20">
        <v>148</v>
      </c>
    </row>
    <row r="11" spans="1:8" x14ac:dyDescent="0.3">
      <c r="A11" s="20">
        <v>7</v>
      </c>
      <c r="B11" s="20" t="s">
        <v>53</v>
      </c>
      <c r="C11" s="20" t="s">
        <v>54</v>
      </c>
      <c r="D11" s="20">
        <v>2009</v>
      </c>
      <c r="E11" s="171">
        <v>46637</v>
      </c>
      <c r="F11" s="20">
        <v>363</v>
      </c>
      <c r="G11" s="171">
        <v>46667</v>
      </c>
      <c r="H11" s="20">
        <v>393</v>
      </c>
    </row>
    <row r="12" spans="1:8" x14ac:dyDescent="0.3">
      <c r="A12" s="20">
        <v>9</v>
      </c>
      <c r="B12" s="20" t="s">
        <v>57</v>
      </c>
      <c r="C12" s="20" t="s">
        <v>54</v>
      </c>
      <c r="D12" s="20">
        <v>2009</v>
      </c>
      <c r="E12" s="171">
        <v>46645</v>
      </c>
      <c r="F12" s="20">
        <v>-9</v>
      </c>
      <c r="G12" s="171">
        <v>46675</v>
      </c>
      <c r="H12" s="20">
        <v>21</v>
      </c>
    </row>
    <row r="13" spans="1:8" x14ac:dyDescent="0.3">
      <c r="A13" s="20">
        <v>13</v>
      </c>
      <c r="B13" s="20" t="s">
        <v>62</v>
      </c>
      <c r="C13" s="20" t="s">
        <v>113</v>
      </c>
      <c r="D13" s="20">
        <v>2023</v>
      </c>
      <c r="E13" s="171">
        <v>46367</v>
      </c>
      <c r="F13" s="20">
        <v>93</v>
      </c>
      <c r="G13" s="171">
        <v>46398</v>
      </c>
      <c r="H13" s="20">
        <v>124</v>
      </c>
    </row>
    <row r="14" spans="1:8" x14ac:dyDescent="0.3">
      <c r="A14" s="20">
        <v>5</v>
      </c>
      <c r="B14" s="20" t="s">
        <v>59</v>
      </c>
      <c r="C14" s="20" t="s">
        <v>60</v>
      </c>
      <c r="D14" s="20">
        <v>2023</v>
      </c>
      <c r="E14" s="171">
        <v>46622</v>
      </c>
      <c r="F14" s="20">
        <v>348</v>
      </c>
      <c r="G14" s="171">
        <v>46653</v>
      </c>
      <c r="H14" s="20">
        <v>379</v>
      </c>
    </row>
    <row r="15" spans="1:8" x14ac:dyDescent="0.3">
      <c r="A15" s="20">
        <v>16</v>
      </c>
      <c r="B15" s="20" t="s">
        <v>66</v>
      </c>
      <c r="C15" s="20" t="s">
        <v>60</v>
      </c>
      <c r="D15" s="20">
        <v>2013</v>
      </c>
      <c r="E15" s="171">
        <v>46412</v>
      </c>
      <c r="F15" s="20">
        <v>138</v>
      </c>
      <c r="G15" s="171">
        <v>46443</v>
      </c>
      <c r="H15" s="20">
        <v>169</v>
      </c>
    </row>
    <row r="16" spans="1:8" x14ac:dyDescent="0.3">
      <c r="A16" s="20">
        <v>18</v>
      </c>
      <c r="B16" s="20" t="s">
        <v>69</v>
      </c>
      <c r="C16" s="20" t="s">
        <v>60</v>
      </c>
      <c r="D16" s="20">
        <v>2020</v>
      </c>
      <c r="E16" s="171">
        <v>46483</v>
      </c>
      <c r="F16" s="20">
        <v>209</v>
      </c>
      <c r="G16" s="171">
        <v>46513</v>
      </c>
      <c r="H16" s="20">
        <v>239</v>
      </c>
    </row>
    <row r="17" spans="1:8" x14ac:dyDescent="0.3">
      <c r="A17" s="20">
        <v>3</v>
      </c>
      <c r="B17" s="20" t="s">
        <v>52</v>
      </c>
      <c r="C17" s="20" t="s">
        <v>16</v>
      </c>
      <c r="D17" s="20">
        <v>2009</v>
      </c>
      <c r="E17" s="171">
        <v>46623</v>
      </c>
      <c r="F17" s="20">
        <v>349</v>
      </c>
      <c r="G17" s="171">
        <v>46654</v>
      </c>
      <c r="H17" s="20">
        <v>380</v>
      </c>
    </row>
    <row r="18" spans="1:8" x14ac:dyDescent="0.3">
      <c r="A18" s="20">
        <v>6</v>
      </c>
      <c r="B18" s="20" t="s">
        <v>56</v>
      </c>
      <c r="C18" s="20" t="s">
        <v>16</v>
      </c>
      <c r="D18" s="20">
        <v>2008</v>
      </c>
      <c r="E18" s="171">
        <v>46656</v>
      </c>
      <c r="F18" s="20">
        <v>-26</v>
      </c>
      <c r="G18" s="171">
        <v>46656</v>
      </c>
      <c r="H18" s="20">
        <v>5</v>
      </c>
    </row>
    <row r="19" spans="1:8" x14ac:dyDescent="0.3">
      <c r="A19" s="20">
        <v>8</v>
      </c>
      <c r="B19" s="20" t="s">
        <v>55</v>
      </c>
      <c r="C19" s="20" t="s">
        <v>16</v>
      </c>
      <c r="D19" s="20">
        <v>2011</v>
      </c>
      <c r="E19" s="171">
        <v>46637</v>
      </c>
      <c r="F19" s="20">
        <v>363</v>
      </c>
      <c r="G19" s="171">
        <v>46667</v>
      </c>
      <c r="H19" s="20">
        <v>393</v>
      </c>
    </row>
    <row r="20" spans="1:8" x14ac:dyDescent="0.3">
      <c r="A20" s="20">
        <v>10</v>
      </c>
      <c r="B20" s="20" t="s">
        <v>58</v>
      </c>
      <c r="C20" s="20" t="s">
        <v>16</v>
      </c>
      <c r="D20" s="20">
        <v>2012</v>
      </c>
      <c r="E20" s="171">
        <v>46645</v>
      </c>
      <c r="F20" s="20">
        <v>-1</v>
      </c>
      <c r="G20" s="171">
        <v>46675</v>
      </c>
      <c r="H20" s="20">
        <v>29</v>
      </c>
    </row>
    <row r="21" spans="1:8" x14ac:dyDescent="0.3">
      <c r="A21" s="20">
        <v>12</v>
      </c>
      <c r="B21" s="20" t="s">
        <v>64</v>
      </c>
      <c r="C21" s="20" t="s">
        <v>16</v>
      </c>
      <c r="D21" s="20">
        <v>2011</v>
      </c>
      <c r="E21" s="171">
        <v>46339</v>
      </c>
      <c r="F21" s="20">
        <v>65</v>
      </c>
      <c r="G21" s="171">
        <v>46369</v>
      </c>
      <c r="H21" s="20">
        <v>95</v>
      </c>
    </row>
    <row r="22" spans="1:8" x14ac:dyDescent="0.3">
      <c r="A22" s="20">
        <v>1</v>
      </c>
      <c r="B22" s="20" t="s">
        <v>49</v>
      </c>
      <c r="C22" s="20" t="s">
        <v>44</v>
      </c>
      <c r="D22" s="20">
        <v>2005</v>
      </c>
      <c r="E22" s="171">
        <v>46588</v>
      </c>
      <c r="F22" s="20">
        <v>314</v>
      </c>
      <c r="G22" s="171">
        <v>46619</v>
      </c>
      <c r="H22" s="20">
        <v>345</v>
      </c>
    </row>
    <row r="23" spans="1:8" x14ac:dyDescent="0.3">
      <c r="A23" s="20">
        <v>20</v>
      </c>
      <c r="B23" s="20" t="s">
        <v>48</v>
      </c>
      <c r="C23" s="20" t="s">
        <v>44</v>
      </c>
      <c r="D23" s="20">
        <v>2003</v>
      </c>
      <c r="E23" s="171">
        <v>46542</v>
      </c>
      <c r="F23" s="20">
        <v>268</v>
      </c>
      <c r="G23" s="171">
        <v>46572</v>
      </c>
      <c r="H23" s="20">
        <v>298</v>
      </c>
    </row>
    <row r="24" spans="1:8" x14ac:dyDescent="0.3">
      <c r="A24" s="20"/>
      <c r="B24" s="20"/>
      <c r="C24" s="20"/>
      <c r="D24" s="20"/>
      <c r="E24" s="20"/>
      <c r="F24" s="20"/>
      <c r="G24" s="20"/>
      <c r="H24" s="2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opLeftCell="A62" zoomScale="146" zoomScaleNormal="146" workbookViewId="0">
      <selection activeCell="E20" sqref="E20"/>
    </sheetView>
  </sheetViews>
  <sheetFormatPr defaultRowHeight="14.4" x14ac:dyDescent="0.3"/>
  <cols>
    <col min="2" max="2" width="10.21875" bestFit="1" customWidth="1"/>
    <col min="3" max="3" width="20.21875" bestFit="1" customWidth="1"/>
    <col min="5" max="5" width="19.33203125" bestFit="1" customWidth="1"/>
    <col min="6" max="6" width="12" bestFit="1" customWidth="1"/>
    <col min="7" max="7" width="21.77734375" bestFit="1" customWidth="1"/>
    <col min="8" max="8" width="12" bestFit="1" customWidth="1"/>
  </cols>
  <sheetData>
    <row r="1" spans="1:8" ht="15.6" x14ac:dyDescent="0.3">
      <c r="A1" s="16" t="s">
        <v>5</v>
      </c>
      <c r="B1" s="17" t="s">
        <v>0</v>
      </c>
      <c r="C1" s="18" t="s">
        <v>10</v>
      </c>
      <c r="D1" s="16" t="s">
        <v>1</v>
      </c>
      <c r="E1" s="19" t="s">
        <v>2</v>
      </c>
      <c r="F1" s="19" t="s">
        <v>187</v>
      </c>
      <c r="G1" s="19" t="s">
        <v>4</v>
      </c>
      <c r="H1" s="19" t="s">
        <v>187</v>
      </c>
    </row>
    <row r="2" spans="1:8" ht="15.6" x14ac:dyDescent="0.3">
      <c r="A2" s="5">
        <v>1</v>
      </c>
      <c r="B2" s="14" t="s">
        <v>144</v>
      </c>
      <c r="C2" s="9" t="s">
        <v>206</v>
      </c>
      <c r="D2" s="5">
        <v>2016</v>
      </c>
      <c r="E2" s="7">
        <v>46541</v>
      </c>
      <c r="F2" s="13">
        <v>301</v>
      </c>
      <c r="G2" s="7">
        <v>46571</v>
      </c>
      <c r="H2" s="13">
        <v>331</v>
      </c>
    </row>
    <row r="3" spans="1:8" ht="15.6" x14ac:dyDescent="0.3">
      <c r="A3" s="5">
        <v>2</v>
      </c>
      <c r="B3" s="14" t="s">
        <v>142</v>
      </c>
      <c r="C3" s="9" t="s">
        <v>206</v>
      </c>
      <c r="D3" s="5">
        <v>2016</v>
      </c>
      <c r="E3" s="7">
        <v>46546</v>
      </c>
      <c r="F3" s="13">
        <v>306</v>
      </c>
      <c r="G3" s="7">
        <v>46576</v>
      </c>
      <c r="H3" s="13">
        <v>336</v>
      </c>
    </row>
    <row r="4" spans="1:8" ht="15.6" x14ac:dyDescent="0.3">
      <c r="A4" s="5">
        <v>3</v>
      </c>
      <c r="B4" s="14" t="s">
        <v>88</v>
      </c>
      <c r="C4" s="9" t="s">
        <v>89</v>
      </c>
      <c r="D4" s="5">
        <v>1993</v>
      </c>
      <c r="E4" s="7">
        <v>46427</v>
      </c>
      <c r="F4" s="13">
        <v>187</v>
      </c>
      <c r="G4" s="7">
        <v>46455</v>
      </c>
      <c r="H4" s="13">
        <v>215</v>
      </c>
    </row>
    <row r="5" spans="1:8" ht="15.6" x14ac:dyDescent="0.3">
      <c r="A5" s="5">
        <v>4</v>
      </c>
      <c r="B5" s="176" t="s">
        <v>75</v>
      </c>
      <c r="C5" s="176" t="s">
        <v>76</v>
      </c>
      <c r="D5" s="97">
        <v>2008</v>
      </c>
      <c r="E5" s="7">
        <v>46286</v>
      </c>
      <c r="F5" s="13">
        <v>46</v>
      </c>
      <c r="G5" s="7">
        <v>46316</v>
      </c>
      <c r="H5" s="13">
        <v>76</v>
      </c>
    </row>
    <row r="6" spans="1:8" ht="15.6" x14ac:dyDescent="0.3">
      <c r="A6" s="5">
        <v>5</v>
      </c>
      <c r="B6" s="14" t="s">
        <v>79</v>
      </c>
      <c r="C6" s="9" t="s">
        <v>76</v>
      </c>
      <c r="D6" s="5">
        <v>2008</v>
      </c>
      <c r="E6" s="7">
        <v>46310</v>
      </c>
      <c r="F6" s="13">
        <v>70</v>
      </c>
      <c r="G6" s="7">
        <v>46341</v>
      </c>
      <c r="H6" s="13">
        <v>101</v>
      </c>
    </row>
    <row r="7" spans="1:8" ht="15.6" x14ac:dyDescent="0.3">
      <c r="A7" s="5">
        <v>6</v>
      </c>
      <c r="B7" s="154" t="s">
        <v>78</v>
      </c>
      <c r="C7" s="9" t="s">
        <v>60</v>
      </c>
      <c r="D7" s="5">
        <v>2018</v>
      </c>
      <c r="E7" s="7">
        <v>46650</v>
      </c>
      <c r="F7" s="13">
        <v>33</v>
      </c>
      <c r="G7" s="7">
        <v>46680</v>
      </c>
      <c r="H7" s="13">
        <v>63</v>
      </c>
    </row>
    <row r="8" spans="1:8" ht="15.6" x14ac:dyDescent="0.3">
      <c r="A8" s="5">
        <v>7</v>
      </c>
      <c r="B8" s="14" t="s">
        <v>146</v>
      </c>
      <c r="C8" s="9" t="s">
        <v>16</v>
      </c>
      <c r="D8" s="5">
        <v>2025</v>
      </c>
      <c r="E8" s="7">
        <v>46541</v>
      </c>
      <c r="F8" s="13">
        <v>301</v>
      </c>
      <c r="G8" s="7">
        <v>46571</v>
      </c>
      <c r="H8" s="13">
        <v>331</v>
      </c>
    </row>
    <row r="9" spans="1:8" ht="15.6" x14ac:dyDescent="0.3">
      <c r="A9" s="5">
        <v>8</v>
      </c>
      <c r="B9" s="14" t="s">
        <v>155</v>
      </c>
      <c r="C9" s="9" t="s">
        <v>16</v>
      </c>
      <c r="D9" s="5">
        <v>2025</v>
      </c>
      <c r="E9" s="7">
        <v>46574</v>
      </c>
      <c r="F9" s="13">
        <v>334</v>
      </c>
      <c r="G9" s="7">
        <v>46574</v>
      </c>
      <c r="H9" s="13">
        <v>334</v>
      </c>
    </row>
    <row r="10" spans="1:8" ht="15.6" x14ac:dyDescent="0.3">
      <c r="A10" s="5">
        <v>9</v>
      </c>
      <c r="B10" s="14" t="s">
        <v>71</v>
      </c>
      <c r="C10" s="9" t="s">
        <v>16</v>
      </c>
      <c r="D10" s="5">
        <v>2020</v>
      </c>
      <c r="E10" s="7">
        <v>46548</v>
      </c>
      <c r="F10" s="13">
        <v>308</v>
      </c>
      <c r="G10" s="7">
        <v>46578</v>
      </c>
      <c r="H10" s="13">
        <v>338</v>
      </c>
    </row>
    <row r="11" spans="1:8" ht="15.6" x14ac:dyDescent="0.3">
      <c r="A11" s="5">
        <v>10</v>
      </c>
      <c r="B11" s="14" t="s">
        <v>152</v>
      </c>
      <c r="C11" s="9" t="s">
        <v>16</v>
      </c>
      <c r="D11" s="5">
        <v>2025</v>
      </c>
      <c r="E11" s="7">
        <v>46566</v>
      </c>
      <c r="F11" s="13">
        <v>326</v>
      </c>
      <c r="G11" s="7">
        <v>46596</v>
      </c>
      <c r="H11" s="13">
        <v>356</v>
      </c>
    </row>
    <row r="12" spans="1:8" ht="15.6" x14ac:dyDescent="0.3">
      <c r="A12" s="5">
        <v>11</v>
      </c>
      <c r="B12" s="14" t="s">
        <v>151</v>
      </c>
      <c r="C12" s="9" t="s">
        <v>16</v>
      </c>
      <c r="D12" s="5">
        <v>2025</v>
      </c>
      <c r="E12" s="7">
        <v>46566</v>
      </c>
      <c r="F12" s="13">
        <v>326</v>
      </c>
      <c r="G12" s="7">
        <v>46596</v>
      </c>
      <c r="H12" s="13">
        <v>356</v>
      </c>
    </row>
    <row r="13" spans="1:8" ht="15.6" x14ac:dyDescent="0.3">
      <c r="A13" s="5">
        <v>12</v>
      </c>
      <c r="B13" s="14" t="s">
        <v>164</v>
      </c>
      <c r="C13" s="9" t="s">
        <v>16</v>
      </c>
      <c r="D13" s="5">
        <v>2025</v>
      </c>
      <c r="E13" s="7">
        <v>46589</v>
      </c>
      <c r="F13" s="13">
        <v>349</v>
      </c>
      <c r="G13" s="7">
        <v>46620</v>
      </c>
      <c r="H13" s="13">
        <v>380</v>
      </c>
    </row>
    <row r="14" spans="1:8" ht="15.6" x14ac:dyDescent="0.3">
      <c r="A14" s="5">
        <v>13</v>
      </c>
      <c r="B14" s="14" t="s">
        <v>73</v>
      </c>
      <c r="C14" s="9" t="s">
        <v>16</v>
      </c>
      <c r="D14" s="5">
        <v>2018</v>
      </c>
      <c r="E14" s="7">
        <v>46602</v>
      </c>
      <c r="F14" s="13">
        <v>362</v>
      </c>
      <c r="G14" s="7">
        <v>46633</v>
      </c>
      <c r="H14" s="13">
        <v>393</v>
      </c>
    </row>
    <row r="15" spans="1:8" ht="15.6" x14ac:dyDescent="0.3">
      <c r="A15" s="5">
        <v>14</v>
      </c>
      <c r="B15" s="14" t="s">
        <v>165</v>
      </c>
      <c r="C15" s="9" t="s">
        <v>16</v>
      </c>
      <c r="D15" s="5">
        <v>2025</v>
      </c>
      <c r="E15" s="7">
        <v>46608</v>
      </c>
      <c r="F15" s="13">
        <v>0</v>
      </c>
      <c r="G15" s="7">
        <v>46639</v>
      </c>
      <c r="H15" s="13">
        <v>31</v>
      </c>
    </row>
    <row r="16" spans="1:8" ht="15.6" x14ac:dyDescent="0.3">
      <c r="A16" s="5">
        <v>15</v>
      </c>
      <c r="B16" s="14" t="s">
        <v>180</v>
      </c>
      <c r="C16" s="9" t="s">
        <v>16</v>
      </c>
      <c r="D16" s="5">
        <v>2025</v>
      </c>
      <c r="E16" s="7">
        <v>46610</v>
      </c>
      <c r="F16" s="13">
        <v>4</v>
      </c>
      <c r="G16" s="7">
        <v>46641</v>
      </c>
      <c r="H16" s="13">
        <v>35</v>
      </c>
    </row>
    <row r="17" spans="1:8" ht="15.6" x14ac:dyDescent="0.3">
      <c r="A17" s="5">
        <v>16</v>
      </c>
      <c r="B17" s="14" t="s">
        <v>166</v>
      </c>
      <c r="C17" s="14" t="s">
        <v>16</v>
      </c>
      <c r="D17" s="160">
        <v>2025</v>
      </c>
      <c r="E17" s="161">
        <v>46610</v>
      </c>
      <c r="F17" s="15">
        <v>5</v>
      </c>
      <c r="G17" s="161">
        <v>46641</v>
      </c>
      <c r="H17" s="15">
        <v>36</v>
      </c>
    </row>
    <row r="18" spans="1:8" ht="15.6" x14ac:dyDescent="0.3">
      <c r="A18" s="5">
        <v>17</v>
      </c>
      <c r="B18" s="14" t="s">
        <v>182</v>
      </c>
      <c r="C18" s="14" t="s">
        <v>16</v>
      </c>
      <c r="D18" s="160">
        <v>2025</v>
      </c>
      <c r="E18" s="161">
        <v>46637</v>
      </c>
      <c r="F18" s="15">
        <v>32</v>
      </c>
      <c r="G18" s="161">
        <v>46667</v>
      </c>
      <c r="H18" s="15">
        <v>62</v>
      </c>
    </row>
    <row r="19" spans="1:8" ht="15.6" x14ac:dyDescent="0.3">
      <c r="A19" s="5">
        <v>18</v>
      </c>
      <c r="B19" s="14" t="s">
        <v>197</v>
      </c>
      <c r="C19" s="9" t="s">
        <v>16</v>
      </c>
      <c r="D19" s="5">
        <v>2025</v>
      </c>
      <c r="E19" s="7">
        <v>46637</v>
      </c>
      <c r="F19" s="13">
        <v>33</v>
      </c>
      <c r="G19" s="7">
        <v>46667</v>
      </c>
      <c r="H19" s="13">
        <v>63</v>
      </c>
    </row>
    <row r="20" spans="1:8" ht="15.6" x14ac:dyDescent="0.3">
      <c r="A20" s="5">
        <v>19</v>
      </c>
      <c r="B20" s="176" t="s">
        <v>77</v>
      </c>
      <c r="C20" s="176" t="s">
        <v>16</v>
      </c>
      <c r="D20" s="97">
        <v>2006</v>
      </c>
      <c r="E20" s="7">
        <v>46286</v>
      </c>
      <c r="F20" s="13">
        <v>46</v>
      </c>
      <c r="G20" s="7">
        <v>46316</v>
      </c>
      <c r="H20" s="13">
        <v>76</v>
      </c>
    </row>
    <row r="21" spans="1:8" ht="15.6" x14ac:dyDescent="0.3">
      <c r="A21" s="5">
        <v>20</v>
      </c>
      <c r="B21" s="154" t="s">
        <v>80</v>
      </c>
      <c r="C21" s="9" t="s">
        <v>16</v>
      </c>
      <c r="D21" s="5">
        <v>2006</v>
      </c>
      <c r="E21" s="7">
        <v>46310</v>
      </c>
      <c r="F21" s="13">
        <v>70</v>
      </c>
      <c r="G21" s="7">
        <v>46341</v>
      </c>
      <c r="H21" s="13">
        <v>101</v>
      </c>
    </row>
    <row r="22" spans="1:8" ht="15.6" x14ac:dyDescent="0.3">
      <c r="A22" s="5">
        <v>21</v>
      </c>
      <c r="B22" s="14" t="s">
        <v>81</v>
      </c>
      <c r="C22" s="9" t="s">
        <v>16</v>
      </c>
      <c r="D22" s="5">
        <v>2023</v>
      </c>
      <c r="E22" s="7">
        <v>46337</v>
      </c>
      <c r="F22" s="13">
        <v>97</v>
      </c>
      <c r="G22" s="7">
        <v>46367</v>
      </c>
      <c r="H22" s="13">
        <v>127</v>
      </c>
    </row>
    <row r="23" spans="1:8" ht="15.6" x14ac:dyDescent="0.3">
      <c r="A23" s="5">
        <v>22</v>
      </c>
      <c r="B23" s="14" t="s">
        <v>201</v>
      </c>
      <c r="C23" s="9" t="s">
        <v>16</v>
      </c>
      <c r="D23" s="5">
        <v>2025</v>
      </c>
      <c r="E23" s="7">
        <v>46338</v>
      </c>
      <c r="F23" s="13">
        <v>98</v>
      </c>
      <c r="G23" s="7">
        <v>46368</v>
      </c>
      <c r="H23" s="13">
        <v>128</v>
      </c>
    </row>
    <row r="24" spans="1:8" ht="15.6" x14ac:dyDescent="0.3">
      <c r="A24" s="5">
        <v>23</v>
      </c>
      <c r="B24" s="14" t="s">
        <v>120</v>
      </c>
      <c r="C24" s="9" t="s">
        <v>16</v>
      </c>
      <c r="D24" s="5">
        <v>2024</v>
      </c>
      <c r="E24" s="7">
        <v>46344</v>
      </c>
      <c r="F24" s="13">
        <v>104</v>
      </c>
      <c r="G24" s="7">
        <v>46374</v>
      </c>
      <c r="H24" s="13">
        <v>134</v>
      </c>
    </row>
    <row r="25" spans="1:8" ht="15.6" x14ac:dyDescent="0.3">
      <c r="A25" s="5">
        <v>24</v>
      </c>
      <c r="B25" s="14" t="s">
        <v>122</v>
      </c>
      <c r="C25" s="9" t="s">
        <v>16</v>
      </c>
      <c r="D25" s="5">
        <v>2024</v>
      </c>
      <c r="E25" s="7">
        <v>46352</v>
      </c>
      <c r="F25" s="13">
        <v>112</v>
      </c>
      <c r="G25" s="7">
        <v>46382</v>
      </c>
      <c r="H25" s="13">
        <v>142</v>
      </c>
    </row>
    <row r="26" spans="1:8" ht="15.6" x14ac:dyDescent="0.3">
      <c r="A26" s="5">
        <v>25</v>
      </c>
      <c r="B26" s="14" t="s">
        <v>203</v>
      </c>
      <c r="C26" s="9" t="s">
        <v>16</v>
      </c>
      <c r="D26" s="5">
        <v>2025</v>
      </c>
      <c r="E26" s="7">
        <v>46360</v>
      </c>
      <c r="F26" s="13">
        <v>120</v>
      </c>
      <c r="G26" s="7">
        <v>46391</v>
      </c>
      <c r="H26" s="13">
        <v>151</v>
      </c>
    </row>
    <row r="27" spans="1:8" ht="15.6" x14ac:dyDescent="0.3">
      <c r="A27" s="5">
        <v>26</v>
      </c>
      <c r="B27" s="14" t="s">
        <v>202</v>
      </c>
      <c r="C27" s="9" t="s">
        <v>16</v>
      </c>
      <c r="D27" s="5">
        <v>2025</v>
      </c>
      <c r="E27" s="7">
        <v>46363</v>
      </c>
      <c r="F27" s="13">
        <v>123</v>
      </c>
      <c r="G27" s="7">
        <v>46394</v>
      </c>
      <c r="H27" s="13">
        <v>154</v>
      </c>
    </row>
    <row r="28" spans="1:8" ht="15.6" x14ac:dyDescent="0.3">
      <c r="A28" s="5">
        <v>27</v>
      </c>
      <c r="B28" s="14" t="s">
        <v>83</v>
      </c>
      <c r="C28" s="9" t="s">
        <v>16</v>
      </c>
      <c r="D28" s="5">
        <v>2022</v>
      </c>
      <c r="E28" s="7">
        <v>46365</v>
      </c>
      <c r="F28" s="13">
        <v>125</v>
      </c>
      <c r="G28" s="7">
        <v>46396</v>
      </c>
      <c r="H28" s="13">
        <v>156</v>
      </c>
    </row>
    <row r="29" spans="1:8" ht="15.6" x14ac:dyDescent="0.3">
      <c r="A29" s="5">
        <v>28</v>
      </c>
      <c r="B29" s="14" t="s">
        <v>204</v>
      </c>
      <c r="C29" s="9" t="s">
        <v>16</v>
      </c>
      <c r="D29" s="5">
        <v>2025</v>
      </c>
      <c r="E29" s="7">
        <v>46372</v>
      </c>
      <c r="F29" s="13">
        <v>132</v>
      </c>
      <c r="G29" s="7">
        <v>46403</v>
      </c>
      <c r="H29" s="13">
        <v>163</v>
      </c>
    </row>
    <row r="30" spans="1:8" ht="15.6" x14ac:dyDescent="0.3">
      <c r="A30" s="5">
        <v>29</v>
      </c>
      <c r="B30" s="14" t="s">
        <v>87</v>
      </c>
      <c r="C30" s="9" t="s">
        <v>16</v>
      </c>
      <c r="D30" s="5">
        <v>2023</v>
      </c>
      <c r="E30" s="7">
        <v>46377</v>
      </c>
      <c r="F30" s="13">
        <v>137</v>
      </c>
      <c r="G30" s="7">
        <v>46408</v>
      </c>
      <c r="H30" s="13">
        <v>168</v>
      </c>
    </row>
    <row r="31" spans="1:8" ht="15.6" x14ac:dyDescent="0.3">
      <c r="A31" s="5">
        <v>30</v>
      </c>
      <c r="B31" s="14" t="s">
        <v>124</v>
      </c>
      <c r="C31" s="9" t="s">
        <v>16</v>
      </c>
      <c r="D31" s="5">
        <v>2025</v>
      </c>
      <c r="E31" s="7">
        <v>46405</v>
      </c>
      <c r="F31" s="13">
        <v>165</v>
      </c>
      <c r="G31" s="7">
        <v>46436</v>
      </c>
      <c r="H31" s="13">
        <v>196</v>
      </c>
    </row>
    <row r="32" spans="1:8" ht="15.6" x14ac:dyDescent="0.3">
      <c r="A32" s="5">
        <v>31</v>
      </c>
      <c r="B32" s="14" t="s">
        <v>123</v>
      </c>
      <c r="C32" s="9" t="s">
        <v>16</v>
      </c>
      <c r="D32" s="5">
        <v>2024</v>
      </c>
      <c r="E32" s="7">
        <v>46427</v>
      </c>
      <c r="F32" s="13">
        <v>187</v>
      </c>
      <c r="G32" s="7">
        <v>46455</v>
      </c>
      <c r="H32" s="13">
        <v>215</v>
      </c>
    </row>
    <row r="33" spans="1:8" ht="15.6" x14ac:dyDescent="0.3">
      <c r="A33" s="5">
        <v>32</v>
      </c>
      <c r="B33" s="14" t="s">
        <v>140</v>
      </c>
      <c r="C33" s="9" t="s">
        <v>16</v>
      </c>
      <c r="D33" s="5">
        <v>2025</v>
      </c>
      <c r="E33" s="7">
        <v>46475</v>
      </c>
      <c r="F33" s="13">
        <v>235</v>
      </c>
      <c r="G33" s="7">
        <v>46506</v>
      </c>
      <c r="H33" s="13">
        <v>266</v>
      </c>
    </row>
    <row r="34" spans="1:8" ht="15.6" x14ac:dyDescent="0.3">
      <c r="A34" s="5">
        <v>33</v>
      </c>
      <c r="B34" s="14" t="s">
        <v>138</v>
      </c>
      <c r="C34" s="9" t="s">
        <v>16</v>
      </c>
      <c r="D34" s="5">
        <v>2025</v>
      </c>
      <c r="E34" s="7">
        <v>46484</v>
      </c>
      <c r="F34" s="13">
        <v>244</v>
      </c>
      <c r="G34" s="7">
        <v>46514</v>
      </c>
      <c r="H34" s="13">
        <v>274</v>
      </c>
    </row>
    <row r="35" spans="1:8" ht="15.6" x14ac:dyDescent="0.3">
      <c r="A35" s="5">
        <v>34</v>
      </c>
      <c r="B35" s="14" t="s">
        <v>303</v>
      </c>
      <c r="C35" s="9" t="s">
        <v>16</v>
      </c>
      <c r="D35" s="5">
        <v>2026</v>
      </c>
      <c r="E35" s="7">
        <v>46500</v>
      </c>
      <c r="F35" s="13">
        <v>260</v>
      </c>
      <c r="G35" s="7">
        <v>46530</v>
      </c>
      <c r="H35" s="13">
        <v>290</v>
      </c>
    </row>
    <row r="36" spans="1:8" ht="15.6" x14ac:dyDescent="0.3">
      <c r="A36" s="5">
        <v>35</v>
      </c>
      <c r="B36" s="14" t="s">
        <v>304</v>
      </c>
      <c r="C36" s="9" t="s">
        <v>16</v>
      </c>
      <c r="D36" s="5">
        <v>2026</v>
      </c>
      <c r="E36" s="7">
        <v>46500</v>
      </c>
      <c r="F36" s="13">
        <v>260</v>
      </c>
      <c r="G36" s="7">
        <v>46530</v>
      </c>
      <c r="H36" s="13">
        <v>290</v>
      </c>
    </row>
    <row r="37" spans="1:8" ht="15.6" x14ac:dyDescent="0.3">
      <c r="A37" s="5">
        <v>36</v>
      </c>
      <c r="B37" s="14" t="s">
        <v>305</v>
      </c>
      <c r="C37" s="9" t="s">
        <v>16</v>
      </c>
      <c r="D37" s="5">
        <v>2026</v>
      </c>
      <c r="E37" s="7">
        <v>46500</v>
      </c>
      <c r="F37" s="13">
        <v>260</v>
      </c>
      <c r="G37" s="7">
        <v>46530</v>
      </c>
      <c r="H37" s="13">
        <v>290</v>
      </c>
    </row>
    <row r="38" spans="1:8" ht="15.6" x14ac:dyDescent="0.3">
      <c r="A38" s="5">
        <v>37</v>
      </c>
      <c r="B38" s="14" t="s">
        <v>300</v>
      </c>
      <c r="C38" s="9" t="s">
        <v>16</v>
      </c>
      <c r="D38" s="5">
        <v>2025</v>
      </c>
      <c r="E38" s="7">
        <v>46510</v>
      </c>
      <c r="F38" s="13">
        <v>270</v>
      </c>
      <c r="G38" s="7">
        <v>46541</v>
      </c>
      <c r="H38" s="13">
        <v>301</v>
      </c>
    </row>
    <row r="39" spans="1:8" ht="15.6" x14ac:dyDescent="0.3">
      <c r="A39" s="5">
        <v>38</v>
      </c>
      <c r="B39" s="14" t="s">
        <v>139</v>
      </c>
      <c r="C39" s="9" t="s">
        <v>16</v>
      </c>
      <c r="D39" s="5">
        <v>2025</v>
      </c>
      <c r="E39" s="7">
        <v>46520</v>
      </c>
      <c r="F39" s="13">
        <v>280</v>
      </c>
      <c r="G39" s="7">
        <v>46551</v>
      </c>
      <c r="H39" s="13">
        <v>311</v>
      </c>
    </row>
    <row r="40" spans="1:8" ht="15.6" x14ac:dyDescent="0.3">
      <c r="A40" s="5">
        <v>39</v>
      </c>
      <c r="B40" s="14" t="s">
        <v>306</v>
      </c>
      <c r="C40" s="9" t="s">
        <v>16</v>
      </c>
      <c r="D40" s="5">
        <v>2026</v>
      </c>
      <c r="E40" s="7">
        <v>46541</v>
      </c>
      <c r="F40" s="13">
        <v>301</v>
      </c>
      <c r="G40" s="7">
        <v>46571</v>
      </c>
      <c r="H40" s="13">
        <v>331</v>
      </c>
    </row>
    <row r="41" spans="1:8" ht="15.6" x14ac:dyDescent="0.3">
      <c r="A41" s="5">
        <v>40</v>
      </c>
      <c r="B41" s="14" t="s">
        <v>145</v>
      </c>
      <c r="C41" s="9" t="s">
        <v>16</v>
      </c>
      <c r="D41" s="5">
        <v>2025</v>
      </c>
      <c r="E41" s="7">
        <v>46542</v>
      </c>
      <c r="F41" s="13">
        <v>302</v>
      </c>
      <c r="G41" s="7">
        <v>46572</v>
      </c>
      <c r="H41" s="13">
        <v>332</v>
      </c>
    </row>
    <row r="42" spans="1:8" ht="15.6" x14ac:dyDescent="0.3">
      <c r="A42" s="5">
        <v>41</v>
      </c>
      <c r="B42" s="14" t="s">
        <v>91</v>
      </c>
      <c r="C42" s="9" t="s">
        <v>16</v>
      </c>
      <c r="D42" s="5">
        <v>2018</v>
      </c>
      <c r="E42" s="7">
        <v>46548</v>
      </c>
      <c r="F42" s="13">
        <v>308</v>
      </c>
      <c r="G42" s="7">
        <v>46578</v>
      </c>
      <c r="H42" s="13">
        <v>338</v>
      </c>
    </row>
    <row r="43" spans="1:8" ht="15.6" x14ac:dyDescent="0.3">
      <c r="A43" s="5">
        <v>42</v>
      </c>
      <c r="B43" s="14" t="s">
        <v>92</v>
      </c>
      <c r="C43" s="9" t="s">
        <v>16</v>
      </c>
      <c r="D43" s="5">
        <v>2009</v>
      </c>
      <c r="E43" s="7">
        <v>46548</v>
      </c>
      <c r="F43" s="13">
        <v>308</v>
      </c>
      <c r="G43" s="7">
        <v>46578</v>
      </c>
      <c r="H43" s="13">
        <v>338</v>
      </c>
    </row>
    <row r="44" spans="1:8" ht="15.6" x14ac:dyDescent="0.3">
      <c r="A44" s="5">
        <v>43</v>
      </c>
      <c r="B44" s="14" t="s">
        <v>320</v>
      </c>
      <c r="C44" s="9" t="s">
        <v>16</v>
      </c>
      <c r="D44" s="5">
        <v>2025</v>
      </c>
      <c r="E44" s="7">
        <v>46643</v>
      </c>
      <c r="F44" s="13">
        <v>39</v>
      </c>
      <c r="G44" s="7">
        <v>46673</v>
      </c>
      <c r="H44" s="13">
        <v>69</v>
      </c>
    </row>
    <row r="45" spans="1:8" ht="15.6" x14ac:dyDescent="0.3">
      <c r="A45" s="5">
        <v>44</v>
      </c>
      <c r="B45" s="14" t="s">
        <v>321</v>
      </c>
      <c r="C45" s="9" t="s">
        <v>16</v>
      </c>
      <c r="D45" s="5">
        <v>2025</v>
      </c>
      <c r="E45" s="7">
        <v>46643</v>
      </c>
      <c r="F45" s="13">
        <v>39</v>
      </c>
      <c r="G45" s="7">
        <v>46674</v>
      </c>
      <c r="H45" s="13">
        <v>9</v>
      </c>
    </row>
    <row r="46" spans="1:8" ht="15.6" x14ac:dyDescent="0.3">
      <c r="A46" s="5">
        <v>45</v>
      </c>
      <c r="B46" s="14" t="s">
        <v>322</v>
      </c>
      <c r="C46" s="9" t="s">
        <v>16</v>
      </c>
      <c r="D46" s="5">
        <v>2025</v>
      </c>
      <c r="E46" s="7">
        <v>46441</v>
      </c>
      <c r="F46" s="13">
        <v>201</v>
      </c>
      <c r="G46" s="7">
        <v>46469</v>
      </c>
      <c r="H46" s="13">
        <v>229</v>
      </c>
    </row>
    <row r="47" spans="1:8" ht="15.6" x14ac:dyDescent="0.3">
      <c r="A47" s="5">
        <v>46</v>
      </c>
      <c r="B47" s="14" t="s">
        <v>323</v>
      </c>
      <c r="C47" s="9" t="s">
        <v>16</v>
      </c>
      <c r="D47" s="5">
        <v>2025</v>
      </c>
      <c r="E47" s="7">
        <v>46513</v>
      </c>
      <c r="F47" s="13">
        <v>273</v>
      </c>
      <c r="G47" s="7">
        <v>46544</v>
      </c>
      <c r="H47" s="13">
        <v>304</v>
      </c>
    </row>
    <row r="48" spans="1:8" ht="15.6" x14ac:dyDescent="0.3">
      <c r="A48" s="5">
        <v>47</v>
      </c>
      <c r="B48" s="14" t="s">
        <v>211</v>
      </c>
      <c r="C48" s="9" t="s">
        <v>212</v>
      </c>
      <c r="D48" s="5">
        <v>2024</v>
      </c>
      <c r="E48" s="7">
        <v>46405</v>
      </c>
      <c r="F48" s="13">
        <v>165</v>
      </c>
      <c r="G48" s="7">
        <v>46436</v>
      </c>
      <c r="H48" s="13">
        <v>196</v>
      </c>
    </row>
    <row r="49" spans="1:8" ht="15.6" x14ac:dyDescent="0.3">
      <c r="A49" s="5">
        <v>48</v>
      </c>
      <c r="B49" s="14" t="s">
        <v>213</v>
      </c>
      <c r="C49" s="9" t="s">
        <v>212</v>
      </c>
      <c r="D49" s="5">
        <v>2023</v>
      </c>
      <c r="E49" s="7">
        <v>46406</v>
      </c>
      <c r="F49" s="13">
        <v>166</v>
      </c>
      <c r="G49" s="7">
        <v>46437</v>
      </c>
      <c r="H49" s="13">
        <v>197</v>
      </c>
    </row>
    <row r="50" spans="1:8" ht="15.6" x14ac:dyDescent="0.3">
      <c r="A50" s="5">
        <v>49</v>
      </c>
      <c r="B50" s="14" t="s">
        <v>90</v>
      </c>
      <c r="C50" s="9" t="s">
        <v>44</v>
      </c>
      <c r="D50" s="5">
        <v>2005</v>
      </c>
      <c r="E50" s="7">
        <v>46547</v>
      </c>
      <c r="F50" s="13">
        <v>307</v>
      </c>
      <c r="G50" s="7">
        <v>46577</v>
      </c>
      <c r="H50" s="13">
        <v>337</v>
      </c>
    </row>
    <row r="51" spans="1:8" ht="15.6" x14ac:dyDescent="0.3">
      <c r="A51" s="5">
        <v>50</v>
      </c>
      <c r="B51" s="14" t="s">
        <v>143</v>
      </c>
      <c r="C51" s="9" t="s">
        <v>44</v>
      </c>
      <c r="D51" s="5">
        <v>2012</v>
      </c>
      <c r="E51" s="7">
        <v>46559</v>
      </c>
      <c r="F51" s="13">
        <v>319</v>
      </c>
      <c r="G51" s="7">
        <v>46589</v>
      </c>
      <c r="H51" s="13">
        <v>349</v>
      </c>
    </row>
    <row r="52" spans="1:8" ht="15.6" x14ac:dyDescent="0.3">
      <c r="A52" s="5">
        <v>51</v>
      </c>
      <c r="B52" s="14" t="s">
        <v>156</v>
      </c>
      <c r="C52" s="9" t="s">
        <v>44</v>
      </c>
      <c r="D52" s="5">
        <v>2008</v>
      </c>
      <c r="E52" s="7">
        <v>46566</v>
      </c>
      <c r="F52" s="13">
        <v>326</v>
      </c>
      <c r="G52" s="7">
        <v>46596</v>
      </c>
      <c r="H52" s="13">
        <v>356</v>
      </c>
    </row>
    <row r="53" spans="1:8" ht="15.6" x14ac:dyDescent="0.3">
      <c r="A53" s="5">
        <v>52</v>
      </c>
      <c r="B53" s="14" t="s">
        <v>160</v>
      </c>
      <c r="C53" s="9" t="s">
        <v>44</v>
      </c>
      <c r="D53" s="5">
        <v>2012</v>
      </c>
      <c r="E53" s="7">
        <v>46566</v>
      </c>
      <c r="F53" s="13">
        <v>326</v>
      </c>
      <c r="G53" s="7">
        <v>46596</v>
      </c>
      <c r="H53" s="13">
        <v>356</v>
      </c>
    </row>
    <row r="54" spans="1:8" ht="15.6" x14ac:dyDescent="0.3">
      <c r="A54" s="5">
        <v>53</v>
      </c>
      <c r="B54" s="14" t="s">
        <v>161</v>
      </c>
      <c r="C54" s="9" t="s">
        <v>44</v>
      </c>
      <c r="D54" s="5">
        <v>2015</v>
      </c>
      <c r="E54" s="7">
        <v>46588</v>
      </c>
      <c r="F54" s="13">
        <v>348</v>
      </c>
      <c r="G54" s="7">
        <v>46616</v>
      </c>
      <c r="H54" s="13">
        <v>376</v>
      </c>
    </row>
    <row r="55" spans="1:8" ht="15.6" x14ac:dyDescent="0.3">
      <c r="A55" s="5">
        <v>54</v>
      </c>
      <c r="B55" s="14" t="s">
        <v>72</v>
      </c>
      <c r="C55" s="9" t="s">
        <v>44</v>
      </c>
      <c r="D55" s="5">
        <v>2005</v>
      </c>
      <c r="E55" s="7">
        <v>46602</v>
      </c>
      <c r="F55" s="13">
        <v>362</v>
      </c>
      <c r="G55" s="7">
        <v>46602</v>
      </c>
      <c r="H55" s="13">
        <v>362</v>
      </c>
    </row>
    <row r="56" spans="1:8" ht="15.6" x14ac:dyDescent="0.3">
      <c r="A56" s="5">
        <v>55</v>
      </c>
      <c r="B56" s="14" t="s">
        <v>162</v>
      </c>
      <c r="C56" s="9" t="s">
        <v>44</v>
      </c>
      <c r="D56" s="5">
        <v>2012</v>
      </c>
      <c r="E56" s="7">
        <v>46608</v>
      </c>
      <c r="F56" s="13">
        <v>-9</v>
      </c>
      <c r="G56" s="7">
        <v>46639</v>
      </c>
      <c r="H56" s="13">
        <v>22</v>
      </c>
    </row>
    <row r="57" spans="1:8" ht="15.6" x14ac:dyDescent="0.3">
      <c r="A57" s="5">
        <v>56</v>
      </c>
      <c r="B57" s="14" t="s">
        <v>163</v>
      </c>
      <c r="C57" s="9" t="s">
        <v>44</v>
      </c>
      <c r="D57" s="5">
        <v>2013</v>
      </c>
      <c r="E57" s="7">
        <v>46617</v>
      </c>
      <c r="F57" s="13">
        <v>-6</v>
      </c>
      <c r="G57" s="7">
        <v>46648</v>
      </c>
      <c r="H57" s="13">
        <v>25</v>
      </c>
    </row>
    <row r="58" spans="1:8" ht="15.6" x14ac:dyDescent="0.3">
      <c r="A58" s="5">
        <v>57</v>
      </c>
      <c r="B58" s="14" t="s">
        <v>74</v>
      </c>
      <c r="C58" s="9" t="s">
        <v>44</v>
      </c>
      <c r="D58" s="5">
        <v>2000</v>
      </c>
      <c r="E58" s="7">
        <v>46625</v>
      </c>
      <c r="F58" s="13">
        <v>8</v>
      </c>
      <c r="G58" s="7">
        <v>46656</v>
      </c>
      <c r="H58" s="13">
        <v>39</v>
      </c>
    </row>
    <row r="59" spans="1:8" ht="15.6" x14ac:dyDescent="0.3">
      <c r="A59" s="5">
        <v>58</v>
      </c>
      <c r="B59" s="14" t="s">
        <v>181</v>
      </c>
      <c r="C59" s="9" t="s">
        <v>44</v>
      </c>
      <c r="D59" s="5">
        <v>2013</v>
      </c>
      <c r="E59" s="7">
        <v>46640</v>
      </c>
      <c r="F59" s="13">
        <v>25</v>
      </c>
      <c r="G59" s="7">
        <v>46670</v>
      </c>
      <c r="H59" s="13">
        <v>55</v>
      </c>
    </row>
    <row r="60" spans="1:8" ht="15.6" x14ac:dyDescent="0.3">
      <c r="A60" s="5">
        <v>59</v>
      </c>
      <c r="B60" s="176" t="s">
        <v>110</v>
      </c>
      <c r="C60" s="176" t="s">
        <v>44</v>
      </c>
      <c r="D60" s="97">
        <v>2017</v>
      </c>
      <c r="E60" s="7">
        <v>46660</v>
      </c>
      <c r="F60" s="13">
        <v>39</v>
      </c>
      <c r="G60" s="7">
        <v>46690</v>
      </c>
      <c r="H60" s="13">
        <v>69</v>
      </c>
    </row>
    <row r="61" spans="1:8" ht="15.6" x14ac:dyDescent="0.3">
      <c r="A61" s="5">
        <v>60</v>
      </c>
      <c r="B61" s="14" t="s">
        <v>111</v>
      </c>
      <c r="C61" s="9" t="s">
        <v>44</v>
      </c>
      <c r="D61" s="5">
        <v>2017</v>
      </c>
      <c r="E61" s="7">
        <v>46643</v>
      </c>
      <c r="F61" s="13">
        <v>39</v>
      </c>
      <c r="G61" s="7">
        <v>46673</v>
      </c>
      <c r="H61" s="13">
        <v>69</v>
      </c>
    </row>
    <row r="62" spans="1:8" ht="15.6" x14ac:dyDescent="0.3">
      <c r="A62" s="5">
        <v>61</v>
      </c>
      <c r="B62" s="154" t="s">
        <v>195</v>
      </c>
      <c r="C62" s="9" t="s">
        <v>44</v>
      </c>
      <c r="D62" s="5">
        <v>2008</v>
      </c>
      <c r="E62" s="7">
        <v>46650</v>
      </c>
      <c r="F62" s="13">
        <v>41</v>
      </c>
      <c r="G62" s="7">
        <v>46680</v>
      </c>
      <c r="H62" s="13">
        <v>74</v>
      </c>
    </row>
    <row r="63" spans="1:8" ht="15.6" x14ac:dyDescent="0.3">
      <c r="A63" s="5">
        <v>62</v>
      </c>
      <c r="B63" s="14" t="s">
        <v>196</v>
      </c>
      <c r="C63" s="9" t="s">
        <v>44</v>
      </c>
      <c r="D63" s="5">
        <v>2011</v>
      </c>
      <c r="E63" s="7">
        <v>46660</v>
      </c>
      <c r="F63" s="13">
        <v>47</v>
      </c>
      <c r="G63" s="7">
        <v>46690</v>
      </c>
      <c r="H63" s="13">
        <v>77</v>
      </c>
    </row>
    <row r="64" spans="1:8" ht="15.6" x14ac:dyDescent="0.3">
      <c r="A64" s="5">
        <v>63</v>
      </c>
      <c r="B64" s="14" t="s">
        <v>194</v>
      </c>
      <c r="C64" s="9" t="s">
        <v>44</v>
      </c>
      <c r="D64" s="5">
        <v>2011</v>
      </c>
      <c r="E64" s="7">
        <v>46316</v>
      </c>
      <c r="F64" s="13">
        <v>76</v>
      </c>
      <c r="G64" s="7">
        <v>46347</v>
      </c>
      <c r="H64" s="13">
        <v>107</v>
      </c>
    </row>
    <row r="65" spans="1:8" ht="15.6" x14ac:dyDescent="0.3">
      <c r="A65" s="5">
        <v>64</v>
      </c>
      <c r="B65" s="14" t="s">
        <v>200</v>
      </c>
      <c r="C65" s="9" t="s">
        <v>44</v>
      </c>
      <c r="D65" s="5">
        <v>2011</v>
      </c>
      <c r="E65" s="7">
        <v>46339</v>
      </c>
      <c r="F65" s="13">
        <v>99</v>
      </c>
      <c r="G65" s="7">
        <v>46369</v>
      </c>
      <c r="H65" s="13">
        <v>129</v>
      </c>
    </row>
    <row r="66" spans="1:8" ht="15.6" x14ac:dyDescent="0.3">
      <c r="A66" s="5">
        <v>65</v>
      </c>
      <c r="B66" s="14" t="s">
        <v>82</v>
      </c>
      <c r="C66" s="9" t="s">
        <v>44</v>
      </c>
      <c r="D66" s="5">
        <v>2013</v>
      </c>
      <c r="E66" s="7">
        <v>46350</v>
      </c>
      <c r="F66" s="13">
        <v>110</v>
      </c>
      <c r="G66" s="7">
        <v>46380</v>
      </c>
      <c r="H66" s="13">
        <v>140</v>
      </c>
    </row>
    <row r="67" spans="1:8" ht="15.6" x14ac:dyDescent="0.3">
      <c r="A67" s="5">
        <v>66</v>
      </c>
      <c r="B67" s="14" t="s">
        <v>121</v>
      </c>
      <c r="C67" s="9" t="s">
        <v>44</v>
      </c>
      <c r="D67" s="5">
        <v>2017</v>
      </c>
      <c r="E67" s="7">
        <v>46352</v>
      </c>
      <c r="F67" s="13">
        <v>112</v>
      </c>
      <c r="G67" s="7">
        <v>46382</v>
      </c>
      <c r="H67" s="13">
        <v>142</v>
      </c>
    </row>
    <row r="68" spans="1:8" ht="15.6" x14ac:dyDescent="0.3">
      <c r="A68" s="5">
        <v>67</v>
      </c>
      <c r="B68" s="14" t="s">
        <v>85</v>
      </c>
      <c r="C68" s="9" t="s">
        <v>44</v>
      </c>
      <c r="D68" s="5">
        <v>2016</v>
      </c>
      <c r="E68" s="7">
        <v>46365</v>
      </c>
      <c r="F68" s="13">
        <v>125</v>
      </c>
      <c r="G68" s="7">
        <v>46396</v>
      </c>
      <c r="H68" s="13">
        <v>156</v>
      </c>
    </row>
    <row r="69" spans="1:8" ht="15.6" x14ac:dyDescent="0.3">
      <c r="A69" s="5">
        <v>68</v>
      </c>
      <c r="B69" s="14" t="s">
        <v>86</v>
      </c>
      <c r="C69" s="9" t="s">
        <v>44</v>
      </c>
      <c r="D69" s="5">
        <v>2016</v>
      </c>
      <c r="E69" s="7">
        <v>46377</v>
      </c>
      <c r="F69" s="13">
        <v>137</v>
      </c>
      <c r="G69" s="7">
        <v>46408</v>
      </c>
      <c r="H69" s="13">
        <v>168</v>
      </c>
    </row>
    <row r="70" spans="1:8" ht="15.6" x14ac:dyDescent="0.3">
      <c r="A70" s="5">
        <v>69</v>
      </c>
      <c r="B70" s="14" t="s">
        <v>214</v>
      </c>
      <c r="C70" s="9" t="s">
        <v>44</v>
      </c>
      <c r="D70" s="5">
        <v>2006</v>
      </c>
      <c r="E70" s="7">
        <v>46413</v>
      </c>
      <c r="F70" s="13">
        <v>173</v>
      </c>
      <c r="G70" s="7">
        <v>46444</v>
      </c>
      <c r="H70" s="13">
        <v>204</v>
      </c>
    </row>
    <row r="71" spans="1:8" ht="15.6" x14ac:dyDescent="0.3">
      <c r="A71" s="5">
        <v>70</v>
      </c>
      <c r="B71" s="14" t="s">
        <v>215</v>
      </c>
      <c r="C71" s="9" t="s">
        <v>44</v>
      </c>
      <c r="D71" s="5">
        <v>2011</v>
      </c>
      <c r="E71" s="7">
        <v>46419</v>
      </c>
      <c r="F71" s="13">
        <v>179</v>
      </c>
      <c r="G71" s="7">
        <v>46447</v>
      </c>
      <c r="H71" s="13">
        <v>207</v>
      </c>
    </row>
    <row r="72" spans="1:8" ht="15.6" x14ac:dyDescent="0.3">
      <c r="A72" s="5">
        <v>71</v>
      </c>
      <c r="B72" s="14" t="s">
        <v>127</v>
      </c>
      <c r="C72" s="9" t="s">
        <v>44</v>
      </c>
      <c r="D72" s="5">
        <v>2015</v>
      </c>
      <c r="E72" s="7">
        <v>46428</v>
      </c>
      <c r="F72" s="13">
        <v>188</v>
      </c>
      <c r="G72" s="7">
        <v>46456</v>
      </c>
      <c r="H72" s="13">
        <v>216</v>
      </c>
    </row>
    <row r="73" spans="1:8" ht="15.6" x14ac:dyDescent="0.3">
      <c r="A73" s="5">
        <v>72</v>
      </c>
      <c r="B73" s="14" t="s">
        <v>128</v>
      </c>
      <c r="C73" s="42" t="s">
        <v>44</v>
      </c>
      <c r="D73" s="39">
        <v>2016</v>
      </c>
      <c r="E73" s="40">
        <v>46437</v>
      </c>
      <c r="F73" s="41">
        <v>197</v>
      </c>
      <c r="G73" s="40">
        <v>46465</v>
      </c>
      <c r="H73" s="41">
        <v>225</v>
      </c>
    </row>
    <row r="74" spans="1:8" ht="15.6" x14ac:dyDescent="0.3">
      <c r="A74" s="5">
        <v>73</v>
      </c>
      <c r="B74" s="14" t="s">
        <v>296</v>
      </c>
      <c r="C74" s="9" t="s">
        <v>44</v>
      </c>
      <c r="D74" s="5">
        <v>2013</v>
      </c>
      <c r="E74" s="7">
        <v>46468</v>
      </c>
      <c r="F74" s="13">
        <v>228</v>
      </c>
      <c r="G74" s="7">
        <v>46499</v>
      </c>
      <c r="H74" s="13">
        <v>259</v>
      </c>
    </row>
    <row r="75" spans="1:8" ht="15.6" x14ac:dyDescent="0.3">
      <c r="A75" s="5">
        <v>74</v>
      </c>
      <c r="B75" s="14" t="s">
        <v>295</v>
      </c>
      <c r="C75" s="9" t="s">
        <v>44</v>
      </c>
      <c r="D75" s="5">
        <v>2013</v>
      </c>
      <c r="E75" s="7">
        <v>46470</v>
      </c>
      <c r="F75" s="13">
        <v>230</v>
      </c>
      <c r="G75" s="7">
        <v>46501</v>
      </c>
      <c r="H75" s="13">
        <v>261</v>
      </c>
    </row>
    <row r="76" spans="1:8" ht="15.6" x14ac:dyDescent="0.3">
      <c r="A76" s="5">
        <v>75</v>
      </c>
      <c r="B76" s="14" t="s">
        <v>129</v>
      </c>
      <c r="C76" s="42" t="s">
        <v>44</v>
      </c>
      <c r="D76" s="39">
        <v>2012</v>
      </c>
      <c r="E76" s="40">
        <v>46475</v>
      </c>
      <c r="F76" s="41">
        <v>235</v>
      </c>
      <c r="G76" s="40">
        <v>46506</v>
      </c>
      <c r="H76" s="41">
        <v>266</v>
      </c>
    </row>
    <row r="77" spans="1:8" ht="15.6" x14ac:dyDescent="0.3">
      <c r="A77" s="5">
        <v>76</v>
      </c>
      <c r="B77" s="14" t="s">
        <v>132</v>
      </c>
      <c r="C77" s="9" t="s">
        <v>44</v>
      </c>
      <c r="D77" s="5">
        <v>2013</v>
      </c>
      <c r="E77" s="7">
        <v>46484</v>
      </c>
      <c r="F77" s="13">
        <v>244</v>
      </c>
      <c r="G77" s="7">
        <v>46514</v>
      </c>
      <c r="H77" s="13">
        <v>274</v>
      </c>
    </row>
    <row r="78" spans="1:8" ht="15.6" x14ac:dyDescent="0.3">
      <c r="A78" s="5">
        <v>77</v>
      </c>
      <c r="B78" s="14" t="s">
        <v>302</v>
      </c>
      <c r="C78" s="9" t="s">
        <v>44</v>
      </c>
      <c r="D78" s="5">
        <v>2013</v>
      </c>
      <c r="E78" s="7">
        <v>46500</v>
      </c>
      <c r="F78" s="13">
        <v>260</v>
      </c>
      <c r="G78" s="7">
        <v>46530</v>
      </c>
      <c r="H78" s="13">
        <v>290</v>
      </c>
    </row>
    <row r="79" spans="1:8" ht="15.6" x14ac:dyDescent="0.3">
      <c r="A79" s="5">
        <v>78</v>
      </c>
      <c r="B79" s="14" t="s">
        <v>301</v>
      </c>
      <c r="C79" s="9" t="s">
        <v>44</v>
      </c>
      <c r="D79" s="5">
        <v>2007</v>
      </c>
      <c r="E79" s="7">
        <v>46503</v>
      </c>
      <c r="F79" s="13">
        <v>263</v>
      </c>
      <c r="G79" s="7">
        <v>46533</v>
      </c>
      <c r="H79" s="13">
        <v>293</v>
      </c>
    </row>
    <row r="80" spans="1:8" ht="15.6" x14ac:dyDescent="0.3">
      <c r="A80" s="5">
        <v>79</v>
      </c>
      <c r="B80" s="14" t="s">
        <v>135</v>
      </c>
      <c r="C80" s="9" t="s">
        <v>44</v>
      </c>
      <c r="D80" s="5">
        <v>2012</v>
      </c>
      <c r="E80" s="7">
        <v>46510</v>
      </c>
      <c r="F80" s="13">
        <v>270</v>
      </c>
      <c r="G80" s="7">
        <v>46541</v>
      </c>
      <c r="H80" s="13">
        <v>301</v>
      </c>
    </row>
    <row r="81" spans="1:8" ht="15.6" x14ac:dyDescent="0.3">
      <c r="A81" s="5">
        <v>80</v>
      </c>
      <c r="B81" s="14" t="s">
        <v>137</v>
      </c>
      <c r="C81" s="9" t="s">
        <v>44</v>
      </c>
      <c r="D81" s="24">
        <v>2012</v>
      </c>
      <c r="E81" s="71">
        <v>46520</v>
      </c>
      <c r="F81" s="13">
        <v>280</v>
      </c>
      <c r="G81" s="71">
        <v>46551</v>
      </c>
      <c r="H81" s="13">
        <v>311</v>
      </c>
    </row>
    <row r="82" spans="1:8" ht="15.6" x14ac:dyDescent="0.3">
      <c r="A82" s="5">
        <v>81</v>
      </c>
      <c r="B82" s="20" t="s">
        <v>141</v>
      </c>
      <c r="C82" s="9" t="s">
        <v>44</v>
      </c>
      <c r="D82" s="24">
        <v>2011</v>
      </c>
      <c r="E82" s="71">
        <v>46541</v>
      </c>
      <c r="F82" s="13">
        <v>301</v>
      </c>
      <c r="G82" s="71">
        <v>46571</v>
      </c>
      <c r="H82" s="13">
        <v>331</v>
      </c>
    </row>
    <row r="83" spans="1:8" ht="15.6" x14ac:dyDescent="0.3">
      <c r="A83" s="5">
        <v>82</v>
      </c>
      <c r="B83" s="14" t="s">
        <v>307</v>
      </c>
      <c r="C83" s="9" t="s">
        <v>44</v>
      </c>
      <c r="D83" s="24">
        <v>2013</v>
      </c>
      <c r="E83" s="71">
        <v>46548</v>
      </c>
      <c r="F83" s="13">
        <v>308</v>
      </c>
      <c r="G83" s="71">
        <v>46578</v>
      </c>
      <c r="H83" s="13">
        <v>338</v>
      </c>
    </row>
    <row r="84" spans="1:8" ht="15.6" x14ac:dyDescent="0.3">
      <c r="A84" s="5">
        <v>83</v>
      </c>
      <c r="B84" s="14" t="s">
        <v>308</v>
      </c>
      <c r="C84" s="9" t="s">
        <v>44</v>
      </c>
      <c r="D84" s="24">
        <v>2013</v>
      </c>
      <c r="E84" s="71">
        <v>46548</v>
      </c>
      <c r="F84" s="13">
        <v>308</v>
      </c>
      <c r="G84" s="71">
        <v>46578</v>
      </c>
      <c r="H84" s="13">
        <v>338</v>
      </c>
    </row>
    <row r="85" spans="1:8" ht="15.6" x14ac:dyDescent="0.3">
      <c r="A85" s="5">
        <v>84</v>
      </c>
      <c r="B85" s="20" t="s">
        <v>347</v>
      </c>
      <c r="C85" s="9" t="s">
        <v>346</v>
      </c>
      <c r="D85" s="24">
        <v>2025</v>
      </c>
      <c r="E85" s="71">
        <v>46586</v>
      </c>
      <c r="F85" s="13">
        <v>346</v>
      </c>
      <c r="G85" s="71">
        <v>46617</v>
      </c>
      <c r="H85" s="13">
        <v>377</v>
      </c>
    </row>
  </sheetData>
  <autoFilter ref="A1:H8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41"/>
  <sheetViews>
    <sheetView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9.109375" style="1"/>
    <col min="2" max="2" width="10.6640625" style="1" bestFit="1" customWidth="1"/>
    <col min="3" max="3" width="14.109375" bestFit="1" customWidth="1"/>
    <col min="4" max="4" width="8.109375" style="1" bestFit="1" customWidth="1"/>
    <col min="5" max="5" width="20.109375" style="3" customWidth="1"/>
    <col min="6" max="6" width="13.6640625" style="3" customWidth="1"/>
    <col min="7" max="7" width="22.6640625" style="3" customWidth="1"/>
    <col min="8" max="8" width="13.6640625" style="3" customWidth="1"/>
    <col min="9" max="9" width="20.109375" style="3" customWidth="1"/>
    <col min="10" max="10" width="18" customWidth="1"/>
    <col min="11" max="11" width="24.6640625" bestFit="1" customWidth="1"/>
  </cols>
  <sheetData>
    <row r="1" spans="1:10" ht="46.5" customHeight="1" x14ac:dyDescent="0.3">
      <c r="A1" s="16" t="s">
        <v>5</v>
      </c>
      <c r="B1" s="16" t="s">
        <v>0</v>
      </c>
      <c r="C1" s="18" t="s">
        <v>10</v>
      </c>
      <c r="D1" s="16" t="s">
        <v>1</v>
      </c>
      <c r="E1" s="19" t="s">
        <v>2</v>
      </c>
      <c r="F1" s="19" t="s">
        <v>187</v>
      </c>
      <c r="G1" s="19" t="s">
        <v>4</v>
      </c>
      <c r="H1" s="19" t="s">
        <v>187</v>
      </c>
      <c r="I1" s="19" t="s">
        <v>188</v>
      </c>
      <c r="J1" s="119" t="s">
        <v>348</v>
      </c>
    </row>
    <row r="2" spans="1:10" ht="15.6" x14ac:dyDescent="0.3">
      <c r="A2" s="114">
        <v>1</v>
      </c>
      <c r="B2" s="115">
        <v>85186</v>
      </c>
      <c r="C2" s="116" t="s">
        <v>16</v>
      </c>
      <c r="D2" s="114">
        <v>2019</v>
      </c>
      <c r="E2" s="117">
        <v>46632</v>
      </c>
      <c r="F2" s="118">
        <f t="shared" ref="F2:F36" ca="1" si="0">E2-TODAY()</f>
        <v>329</v>
      </c>
      <c r="G2" s="117">
        <v>46667</v>
      </c>
      <c r="H2" s="118">
        <f ca="1">G2-TODAY()</f>
        <v>364</v>
      </c>
      <c r="I2" s="118" t="s">
        <v>189</v>
      </c>
    </row>
    <row r="3" spans="1:10" ht="15.6" x14ac:dyDescent="0.3">
      <c r="A3" s="5">
        <v>2</v>
      </c>
      <c r="B3" s="15">
        <v>45933</v>
      </c>
      <c r="C3" s="9" t="s">
        <v>44</v>
      </c>
      <c r="D3" s="5">
        <v>2009</v>
      </c>
      <c r="E3" s="7">
        <v>46637</v>
      </c>
      <c r="F3" s="13">
        <f t="shared" ca="1" si="0"/>
        <v>334</v>
      </c>
      <c r="G3" s="7">
        <v>46667</v>
      </c>
      <c r="H3" s="13">
        <f t="shared" ref="H3:H36" ca="1" si="1">G3-TODAY()</f>
        <v>364</v>
      </c>
      <c r="I3" s="13" t="s">
        <v>189</v>
      </c>
      <c r="J3" s="109"/>
    </row>
    <row r="4" spans="1:10" ht="15.6" x14ac:dyDescent="0.3">
      <c r="A4" s="114">
        <v>3</v>
      </c>
      <c r="B4" s="115">
        <v>85099</v>
      </c>
      <c r="C4" s="116" t="s">
        <v>16</v>
      </c>
      <c r="D4" s="114">
        <v>2006</v>
      </c>
      <c r="E4" s="117">
        <v>46628</v>
      </c>
      <c r="F4" s="118">
        <f t="shared" ca="1" si="0"/>
        <v>325</v>
      </c>
      <c r="G4" s="117">
        <v>46659</v>
      </c>
      <c r="H4" s="118">
        <f t="shared" ca="1" si="1"/>
        <v>356</v>
      </c>
      <c r="I4" s="118" t="s">
        <v>189</v>
      </c>
    </row>
    <row r="5" spans="1:10" ht="15.6" x14ac:dyDescent="0.3">
      <c r="A5" s="5">
        <v>4</v>
      </c>
      <c r="B5" s="15">
        <v>20118</v>
      </c>
      <c r="C5" s="9" t="s">
        <v>44</v>
      </c>
      <c r="D5" s="5">
        <v>1999</v>
      </c>
      <c r="E5" s="7">
        <v>46627</v>
      </c>
      <c r="F5" s="13">
        <f t="shared" ca="1" si="0"/>
        <v>324</v>
      </c>
      <c r="G5" s="7">
        <v>46658</v>
      </c>
      <c r="H5" s="13">
        <f t="shared" ca="1" si="1"/>
        <v>355</v>
      </c>
      <c r="I5" s="13" t="s">
        <v>189</v>
      </c>
      <c r="J5" s="109"/>
    </row>
    <row r="6" spans="1:10" ht="15.6" x14ac:dyDescent="0.3">
      <c r="A6" s="114">
        <v>5</v>
      </c>
      <c r="B6" s="115">
        <v>85106</v>
      </c>
      <c r="C6" s="116" t="s">
        <v>16</v>
      </c>
      <c r="D6" s="114">
        <v>2022</v>
      </c>
      <c r="E6" s="117">
        <v>46637</v>
      </c>
      <c r="F6" s="118">
        <f t="shared" ca="1" si="0"/>
        <v>334</v>
      </c>
      <c r="G6" s="117">
        <v>46667</v>
      </c>
      <c r="H6" s="118">
        <f t="shared" ca="1" si="1"/>
        <v>364</v>
      </c>
      <c r="I6" s="118" t="s">
        <v>189</v>
      </c>
    </row>
    <row r="7" spans="1:10" ht="15.6" x14ac:dyDescent="0.3">
      <c r="A7" s="5">
        <v>6</v>
      </c>
      <c r="B7" s="15">
        <v>28647</v>
      </c>
      <c r="C7" s="9" t="s">
        <v>44</v>
      </c>
      <c r="D7" s="5">
        <v>2013</v>
      </c>
      <c r="E7" s="7">
        <v>46628</v>
      </c>
      <c r="F7" s="13">
        <f t="shared" ca="1" si="0"/>
        <v>325</v>
      </c>
      <c r="G7" s="7">
        <v>46659</v>
      </c>
      <c r="H7" s="13">
        <f t="shared" ca="1" si="1"/>
        <v>356</v>
      </c>
      <c r="I7" s="13" t="s">
        <v>189</v>
      </c>
      <c r="J7" s="109"/>
    </row>
    <row r="8" spans="1:10" ht="15.6" x14ac:dyDescent="0.3">
      <c r="A8" s="114">
        <v>7</v>
      </c>
      <c r="B8" s="115">
        <v>85641</v>
      </c>
      <c r="C8" s="116" t="s">
        <v>16</v>
      </c>
      <c r="D8" s="114">
        <v>2022</v>
      </c>
      <c r="E8" s="117">
        <v>46637</v>
      </c>
      <c r="F8" s="118">
        <f t="shared" ca="1" si="0"/>
        <v>334</v>
      </c>
      <c r="G8" s="117">
        <v>46667</v>
      </c>
      <c r="H8" s="118">
        <f t="shared" ca="1" si="1"/>
        <v>364</v>
      </c>
      <c r="I8" s="118" t="s">
        <v>189</v>
      </c>
    </row>
    <row r="9" spans="1:10" ht="15.6" x14ac:dyDescent="0.3">
      <c r="A9" s="5">
        <v>8</v>
      </c>
      <c r="B9" s="15">
        <v>38948</v>
      </c>
      <c r="C9" s="9" t="s">
        <v>44</v>
      </c>
      <c r="D9" s="5">
        <v>2011</v>
      </c>
      <c r="E9" s="7">
        <v>46650</v>
      </c>
      <c r="F9" s="13">
        <f t="shared" ca="1" si="0"/>
        <v>347</v>
      </c>
      <c r="G9" s="7">
        <v>46680</v>
      </c>
      <c r="H9" s="13">
        <f t="shared" ca="1" si="1"/>
        <v>377</v>
      </c>
      <c r="I9" s="13" t="s">
        <v>189</v>
      </c>
      <c r="J9" s="109"/>
    </row>
    <row r="10" spans="1:10" ht="15.6" x14ac:dyDescent="0.3">
      <c r="A10" s="114">
        <v>9</v>
      </c>
      <c r="B10" s="115">
        <v>85978</v>
      </c>
      <c r="C10" s="116" t="s">
        <v>16</v>
      </c>
      <c r="D10" s="114">
        <v>2016</v>
      </c>
      <c r="E10" s="117">
        <v>46655</v>
      </c>
      <c r="F10" s="118">
        <f t="shared" ca="1" si="0"/>
        <v>352</v>
      </c>
      <c r="G10" s="117">
        <v>46685</v>
      </c>
      <c r="H10" s="118">
        <f t="shared" ca="1" si="1"/>
        <v>382</v>
      </c>
      <c r="I10" s="118" t="s">
        <v>189</v>
      </c>
    </row>
    <row r="11" spans="1:10" ht="15.6" x14ac:dyDescent="0.3">
      <c r="A11" s="5">
        <v>10</v>
      </c>
      <c r="B11" s="15">
        <v>46546</v>
      </c>
      <c r="C11" s="9" t="s">
        <v>76</v>
      </c>
      <c r="D11" s="5">
        <v>2009</v>
      </c>
      <c r="E11" s="7">
        <v>46651</v>
      </c>
      <c r="F11" s="13">
        <f t="shared" ca="1" si="0"/>
        <v>348</v>
      </c>
      <c r="G11" s="7">
        <v>46681</v>
      </c>
      <c r="H11" s="13">
        <f t="shared" ca="1" si="1"/>
        <v>378</v>
      </c>
      <c r="I11" s="13" t="s">
        <v>189</v>
      </c>
    </row>
    <row r="12" spans="1:10" ht="15.6" x14ac:dyDescent="0.3">
      <c r="A12" s="5">
        <v>11</v>
      </c>
      <c r="B12" s="15">
        <v>46560</v>
      </c>
      <c r="C12" s="9" t="s">
        <v>76</v>
      </c>
      <c r="D12" s="5">
        <v>2008</v>
      </c>
      <c r="E12" s="7">
        <v>46293</v>
      </c>
      <c r="F12" s="13">
        <f t="shared" ca="1" si="0"/>
        <v>-10</v>
      </c>
      <c r="G12" s="7">
        <v>46323</v>
      </c>
      <c r="H12" s="13">
        <f t="shared" ca="1" si="1"/>
        <v>20</v>
      </c>
      <c r="I12" s="13" t="s">
        <v>189</v>
      </c>
      <c r="J12" s="109"/>
    </row>
    <row r="13" spans="1:10" ht="15.6" x14ac:dyDescent="0.3">
      <c r="A13" s="114">
        <v>12</v>
      </c>
      <c r="B13" s="115">
        <v>86060</v>
      </c>
      <c r="C13" s="116" t="s">
        <v>16</v>
      </c>
      <c r="D13" s="114">
        <v>2012</v>
      </c>
      <c r="E13" s="117">
        <v>46293</v>
      </c>
      <c r="F13" s="118">
        <f t="shared" ca="1" si="0"/>
        <v>-10</v>
      </c>
      <c r="G13" s="117">
        <v>46323</v>
      </c>
      <c r="H13" s="118">
        <f t="shared" ca="1" si="1"/>
        <v>20</v>
      </c>
      <c r="I13" s="118" t="s">
        <v>189</v>
      </c>
    </row>
    <row r="14" spans="1:10" ht="15.6" x14ac:dyDescent="0.3">
      <c r="A14" s="5">
        <v>13</v>
      </c>
      <c r="B14" s="184">
        <v>86489</v>
      </c>
      <c r="C14" s="185" t="s">
        <v>16</v>
      </c>
      <c r="D14" s="186">
        <v>2016</v>
      </c>
      <c r="E14" s="187">
        <v>46665</v>
      </c>
      <c r="F14" s="184">
        <f t="shared" ca="1" si="0"/>
        <v>362</v>
      </c>
      <c r="G14" s="187">
        <v>46696</v>
      </c>
      <c r="H14" s="184">
        <f t="shared" ca="1" si="1"/>
        <v>393</v>
      </c>
      <c r="I14" s="184" t="s">
        <v>189</v>
      </c>
      <c r="J14" s="188"/>
    </row>
    <row r="15" spans="1:10" ht="15.6" x14ac:dyDescent="0.3">
      <c r="A15" s="5">
        <v>14</v>
      </c>
      <c r="B15" s="184">
        <v>48002</v>
      </c>
      <c r="C15" s="185" t="s">
        <v>44</v>
      </c>
      <c r="D15" s="186">
        <v>2003</v>
      </c>
      <c r="E15" s="187">
        <v>46665</v>
      </c>
      <c r="F15" s="184">
        <f t="shared" ca="1" si="0"/>
        <v>362</v>
      </c>
      <c r="G15" s="187">
        <v>46696</v>
      </c>
      <c r="H15" s="184">
        <f t="shared" ca="1" si="1"/>
        <v>393</v>
      </c>
      <c r="I15" s="184" t="s">
        <v>189</v>
      </c>
      <c r="J15" s="189"/>
    </row>
    <row r="16" spans="1:10" ht="15.6" x14ac:dyDescent="0.3">
      <c r="A16" s="114">
        <v>15</v>
      </c>
      <c r="B16" s="190">
        <v>86297</v>
      </c>
      <c r="C16" s="191" t="s">
        <v>16</v>
      </c>
      <c r="D16" s="192">
        <v>2019</v>
      </c>
      <c r="E16" s="193">
        <v>46665</v>
      </c>
      <c r="F16" s="190">
        <f t="shared" ca="1" si="0"/>
        <v>362</v>
      </c>
      <c r="G16" s="193">
        <v>46696</v>
      </c>
      <c r="H16" s="190">
        <f t="shared" ca="1" si="1"/>
        <v>393</v>
      </c>
      <c r="I16" s="190" t="s">
        <v>189</v>
      </c>
      <c r="J16" s="188"/>
    </row>
    <row r="17" spans="1:10" ht="15.6" x14ac:dyDescent="0.3">
      <c r="A17" s="5">
        <v>16</v>
      </c>
      <c r="B17" s="15">
        <v>47062</v>
      </c>
      <c r="C17" s="9" t="s">
        <v>44</v>
      </c>
      <c r="D17" s="5">
        <v>2009</v>
      </c>
      <c r="E17" s="7">
        <v>46302</v>
      </c>
      <c r="F17" s="13">
        <f t="shared" ca="1" si="0"/>
        <v>-1</v>
      </c>
      <c r="G17" s="7">
        <v>46333</v>
      </c>
      <c r="H17" s="13">
        <f t="shared" ca="1" si="1"/>
        <v>30</v>
      </c>
      <c r="I17" s="13" t="s">
        <v>189</v>
      </c>
      <c r="J17" s="109"/>
    </row>
    <row r="18" spans="1:10" ht="15.6" x14ac:dyDescent="0.3">
      <c r="A18" s="114">
        <v>17</v>
      </c>
      <c r="B18" s="115">
        <v>87119</v>
      </c>
      <c r="C18" s="116" t="s">
        <v>16</v>
      </c>
      <c r="D18" s="114">
        <v>2020</v>
      </c>
      <c r="E18" s="117">
        <v>46311</v>
      </c>
      <c r="F18" s="118">
        <f t="shared" ca="1" si="0"/>
        <v>8</v>
      </c>
      <c r="G18" s="117">
        <v>46342</v>
      </c>
      <c r="H18" s="118">
        <f t="shared" ca="1" si="1"/>
        <v>39</v>
      </c>
      <c r="I18" s="118" t="s">
        <v>189</v>
      </c>
    </row>
    <row r="19" spans="1:10" ht="15.6" x14ac:dyDescent="0.3">
      <c r="A19" s="5">
        <v>18</v>
      </c>
      <c r="B19" s="15">
        <v>23950</v>
      </c>
      <c r="C19" s="9" t="s">
        <v>44</v>
      </c>
      <c r="D19" s="5">
        <v>2009</v>
      </c>
      <c r="E19" s="7">
        <v>46311</v>
      </c>
      <c r="F19" s="13">
        <f t="shared" ca="1" si="0"/>
        <v>8</v>
      </c>
      <c r="G19" s="7">
        <v>46342</v>
      </c>
      <c r="H19" s="13">
        <f t="shared" ca="1" si="1"/>
        <v>39</v>
      </c>
      <c r="I19" s="13" t="s">
        <v>189</v>
      </c>
    </row>
    <row r="20" spans="1:10" ht="15.6" x14ac:dyDescent="0.3">
      <c r="A20" s="5">
        <v>19</v>
      </c>
      <c r="B20" s="15">
        <v>7191</v>
      </c>
      <c r="C20" s="9" t="s">
        <v>44</v>
      </c>
      <c r="D20" s="5">
        <v>2006</v>
      </c>
      <c r="E20" s="7">
        <v>46317</v>
      </c>
      <c r="F20" s="13">
        <f t="shared" ca="1" si="0"/>
        <v>14</v>
      </c>
      <c r="G20" s="7">
        <v>46348</v>
      </c>
      <c r="H20" s="13">
        <f t="shared" ca="1" si="1"/>
        <v>45</v>
      </c>
      <c r="I20" s="13" t="s">
        <v>189</v>
      </c>
      <c r="J20" s="109"/>
    </row>
    <row r="21" spans="1:10" ht="15.6" x14ac:dyDescent="0.3">
      <c r="A21" s="114">
        <v>20</v>
      </c>
      <c r="B21" s="115">
        <v>87407</v>
      </c>
      <c r="C21" s="116" t="s">
        <v>16</v>
      </c>
      <c r="D21" s="114">
        <v>2018</v>
      </c>
      <c r="E21" s="117">
        <v>46317</v>
      </c>
      <c r="F21" s="118">
        <f t="shared" ca="1" si="0"/>
        <v>14</v>
      </c>
      <c r="G21" s="117">
        <v>46348</v>
      </c>
      <c r="H21" s="118">
        <f t="shared" ca="1" si="1"/>
        <v>45</v>
      </c>
      <c r="I21" s="118" t="s">
        <v>189</v>
      </c>
    </row>
    <row r="22" spans="1:10" ht="15.6" x14ac:dyDescent="0.3">
      <c r="A22" s="5">
        <v>21</v>
      </c>
      <c r="B22" s="15">
        <v>31306</v>
      </c>
      <c r="C22" s="9" t="s">
        <v>16</v>
      </c>
      <c r="D22" s="5">
        <v>2016</v>
      </c>
      <c r="E22" s="7">
        <v>46349</v>
      </c>
      <c r="F22" s="13">
        <f t="shared" ca="1" si="0"/>
        <v>46</v>
      </c>
      <c r="G22" s="7">
        <v>46379</v>
      </c>
      <c r="H22" s="13">
        <f t="shared" ca="1" si="1"/>
        <v>76</v>
      </c>
      <c r="I22" s="13" t="s">
        <v>189</v>
      </c>
    </row>
    <row r="23" spans="1:10" ht="15.6" x14ac:dyDescent="0.3">
      <c r="A23" s="5">
        <v>22</v>
      </c>
      <c r="B23" s="15">
        <v>30295</v>
      </c>
      <c r="C23" s="9" t="s">
        <v>16</v>
      </c>
      <c r="D23" s="5">
        <v>2015</v>
      </c>
      <c r="E23" s="7">
        <v>46349</v>
      </c>
      <c r="F23" s="13">
        <f t="shared" ca="1" si="0"/>
        <v>46</v>
      </c>
      <c r="G23" s="7">
        <v>46379</v>
      </c>
      <c r="H23" s="13">
        <f t="shared" ca="1" si="1"/>
        <v>76</v>
      </c>
      <c r="I23" s="13" t="s">
        <v>189</v>
      </c>
    </row>
    <row r="24" spans="1:10" ht="15.6" x14ac:dyDescent="0.3">
      <c r="A24" s="5">
        <v>23</v>
      </c>
      <c r="B24" s="15">
        <v>87919</v>
      </c>
      <c r="C24" s="9" t="s">
        <v>16</v>
      </c>
      <c r="D24" s="5">
        <v>2020</v>
      </c>
      <c r="E24" s="7">
        <v>46350</v>
      </c>
      <c r="F24" s="13">
        <f t="shared" ca="1" si="0"/>
        <v>47</v>
      </c>
      <c r="G24" s="7">
        <v>46380</v>
      </c>
      <c r="H24" s="13">
        <f t="shared" ca="1" si="1"/>
        <v>77</v>
      </c>
      <c r="I24" s="13" t="s">
        <v>189</v>
      </c>
    </row>
    <row r="25" spans="1:10" ht="15.6" x14ac:dyDescent="0.3">
      <c r="A25" s="5">
        <v>24</v>
      </c>
      <c r="B25" s="15">
        <v>22422</v>
      </c>
      <c r="C25" s="9" t="s">
        <v>44</v>
      </c>
      <c r="D25" s="5">
        <v>2009</v>
      </c>
      <c r="E25" s="7">
        <v>46350</v>
      </c>
      <c r="F25" s="13">
        <f t="shared" ca="1" si="0"/>
        <v>47</v>
      </c>
      <c r="G25" s="7">
        <v>46380</v>
      </c>
      <c r="H25" s="13">
        <f t="shared" ca="1" si="1"/>
        <v>77</v>
      </c>
      <c r="I25" s="13" t="s">
        <v>189</v>
      </c>
    </row>
    <row r="26" spans="1:10" ht="15.6" x14ac:dyDescent="0.3">
      <c r="A26" s="5">
        <v>25</v>
      </c>
      <c r="B26" s="15">
        <v>36468</v>
      </c>
      <c r="C26" s="9" t="s">
        <v>44</v>
      </c>
      <c r="D26" s="5">
        <v>2011</v>
      </c>
      <c r="E26" s="7">
        <v>46350</v>
      </c>
      <c r="F26" s="13">
        <f t="shared" ca="1" si="0"/>
        <v>47</v>
      </c>
      <c r="G26" s="7">
        <v>46380</v>
      </c>
      <c r="H26" s="13">
        <f t="shared" ca="1" si="1"/>
        <v>77</v>
      </c>
      <c r="I26" s="13" t="s">
        <v>189</v>
      </c>
    </row>
    <row r="27" spans="1:10" ht="15.6" x14ac:dyDescent="0.3">
      <c r="A27" s="5">
        <v>26</v>
      </c>
      <c r="B27" s="15">
        <v>29022</v>
      </c>
      <c r="C27" s="9" t="s">
        <v>205</v>
      </c>
      <c r="D27" s="5">
        <v>2025</v>
      </c>
      <c r="E27" s="7">
        <v>46359</v>
      </c>
      <c r="F27" s="13">
        <f t="shared" ca="1" si="0"/>
        <v>56</v>
      </c>
      <c r="G27" s="7">
        <v>46390</v>
      </c>
      <c r="H27" s="13">
        <f t="shared" ca="1" si="1"/>
        <v>87</v>
      </c>
      <c r="I27" s="13" t="s">
        <v>189</v>
      </c>
    </row>
    <row r="28" spans="1:10" ht="15.6" x14ac:dyDescent="0.3">
      <c r="A28" s="5">
        <v>27</v>
      </c>
      <c r="B28" s="15">
        <v>29009</v>
      </c>
      <c r="C28" s="9" t="s">
        <v>205</v>
      </c>
      <c r="D28" s="5">
        <v>2017</v>
      </c>
      <c r="E28" s="7">
        <v>46359</v>
      </c>
      <c r="F28" s="13">
        <f t="shared" ca="1" si="0"/>
        <v>56</v>
      </c>
      <c r="G28" s="7">
        <v>46390</v>
      </c>
      <c r="H28" s="13">
        <f t="shared" ca="1" si="1"/>
        <v>87</v>
      </c>
      <c r="I28" s="13" t="s">
        <v>189</v>
      </c>
    </row>
    <row r="29" spans="1:10" ht="15.6" x14ac:dyDescent="0.3">
      <c r="A29" s="5">
        <v>28</v>
      </c>
      <c r="B29" s="15">
        <v>50552</v>
      </c>
      <c r="C29" s="9" t="s">
        <v>44</v>
      </c>
      <c r="D29" s="5">
        <v>2013</v>
      </c>
      <c r="E29" s="7">
        <v>46363</v>
      </c>
      <c r="F29" s="13">
        <f t="shared" ca="1" si="0"/>
        <v>60</v>
      </c>
      <c r="G29" s="7">
        <v>46394</v>
      </c>
      <c r="H29" s="13">
        <f t="shared" ca="1" si="1"/>
        <v>91</v>
      </c>
      <c r="I29" s="13" t="s">
        <v>189</v>
      </c>
      <c r="J29" s="109"/>
    </row>
    <row r="30" spans="1:10" ht="15.6" x14ac:dyDescent="0.3">
      <c r="A30" s="114">
        <v>29</v>
      </c>
      <c r="B30" s="115">
        <v>89819</v>
      </c>
      <c r="C30" s="116" t="s">
        <v>16</v>
      </c>
      <c r="D30" s="114">
        <v>2022</v>
      </c>
      <c r="E30" s="117">
        <v>46363</v>
      </c>
      <c r="F30" s="118">
        <f t="shared" ca="1" si="0"/>
        <v>60</v>
      </c>
      <c r="G30" s="117">
        <v>46394</v>
      </c>
      <c r="H30" s="118">
        <f t="shared" ca="1" si="1"/>
        <v>91</v>
      </c>
      <c r="I30" s="118" t="s">
        <v>189</v>
      </c>
    </row>
    <row r="31" spans="1:10" ht="15.6" x14ac:dyDescent="0.3">
      <c r="A31" s="5">
        <v>30</v>
      </c>
      <c r="B31" s="15">
        <v>90587</v>
      </c>
      <c r="C31" s="9" t="s">
        <v>16</v>
      </c>
      <c r="D31" s="5">
        <v>2017</v>
      </c>
      <c r="E31" s="7">
        <v>46391</v>
      </c>
      <c r="F31" s="13">
        <f t="shared" ca="1" si="0"/>
        <v>88</v>
      </c>
      <c r="G31" s="7">
        <v>46422</v>
      </c>
      <c r="H31" s="13">
        <f t="shared" ca="1" si="1"/>
        <v>119</v>
      </c>
      <c r="I31" s="13" t="s">
        <v>189</v>
      </c>
    </row>
    <row r="32" spans="1:10" ht="15.6" x14ac:dyDescent="0.3">
      <c r="A32" s="5">
        <v>31</v>
      </c>
      <c r="B32" s="15">
        <v>9158</v>
      </c>
      <c r="C32" s="9" t="s">
        <v>44</v>
      </c>
      <c r="D32" s="5">
        <v>2005</v>
      </c>
      <c r="E32" s="7">
        <v>46391</v>
      </c>
      <c r="F32" s="13">
        <f t="shared" ca="1" si="0"/>
        <v>88</v>
      </c>
      <c r="G32" s="7">
        <v>46422</v>
      </c>
      <c r="H32" s="13">
        <f t="shared" ca="1" si="1"/>
        <v>119</v>
      </c>
      <c r="I32" s="13" t="s">
        <v>189</v>
      </c>
    </row>
    <row r="33" spans="1:10" ht="15.6" x14ac:dyDescent="0.3">
      <c r="A33" s="5">
        <v>32</v>
      </c>
      <c r="B33" s="15">
        <v>46348</v>
      </c>
      <c r="C33" s="9" t="s">
        <v>44</v>
      </c>
      <c r="D33" s="5">
        <v>2008</v>
      </c>
      <c r="E33" s="7">
        <v>46395</v>
      </c>
      <c r="F33" s="13">
        <f t="shared" ca="1" si="0"/>
        <v>92</v>
      </c>
      <c r="G33" s="7">
        <v>46426</v>
      </c>
      <c r="H33" s="13">
        <f t="shared" ca="1" si="1"/>
        <v>123</v>
      </c>
      <c r="I33" s="13" t="s">
        <v>189</v>
      </c>
    </row>
    <row r="34" spans="1:10" ht="15.6" x14ac:dyDescent="0.3">
      <c r="A34" s="5">
        <v>33</v>
      </c>
      <c r="B34" s="15">
        <v>44752</v>
      </c>
      <c r="C34" s="9" t="s">
        <v>44</v>
      </c>
      <c r="D34" s="5">
        <v>1998</v>
      </c>
      <c r="E34" s="7">
        <v>46405</v>
      </c>
      <c r="F34" s="13">
        <f t="shared" ca="1" si="0"/>
        <v>102</v>
      </c>
      <c r="G34" s="7">
        <v>46436</v>
      </c>
      <c r="H34" s="13">
        <f t="shared" ca="1" si="1"/>
        <v>133</v>
      </c>
      <c r="I34" s="13" t="s">
        <v>189</v>
      </c>
      <c r="J34" s="109"/>
    </row>
    <row r="35" spans="1:10" ht="15.6" x14ac:dyDescent="0.3">
      <c r="A35" s="114">
        <v>34</v>
      </c>
      <c r="B35" s="115">
        <v>32278</v>
      </c>
      <c r="C35" s="116" t="s">
        <v>16</v>
      </c>
      <c r="D35" s="114">
        <v>2023</v>
      </c>
      <c r="E35" s="117">
        <v>46405</v>
      </c>
      <c r="F35" s="118">
        <f t="shared" ca="1" si="0"/>
        <v>102</v>
      </c>
      <c r="G35" s="117">
        <v>46436</v>
      </c>
      <c r="H35" s="118">
        <f t="shared" ca="1" si="1"/>
        <v>133</v>
      </c>
      <c r="I35" s="118" t="s">
        <v>189</v>
      </c>
    </row>
    <row r="36" spans="1:10" ht="15.6" x14ac:dyDescent="0.3">
      <c r="A36" s="5">
        <v>35</v>
      </c>
      <c r="B36" s="73">
        <v>33184</v>
      </c>
      <c r="C36" s="68" t="s">
        <v>16</v>
      </c>
      <c r="D36" s="69"/>
      <c r="E36" s="70">
        <v>46419</v>
      </c>
      <c r="F36" s="43">
        <f t="shared" ca="1" si="0"/>
        <v>116</v>
      </c>
      <c r="G36" s="70">
        <v>46447</v>
      </c>
      <c r="H36" s="43">
        <f t="shared" ca="1" si="1"/>
        <v>144</v>
      </c>
      <c r="I36" s="43" t="s">
        <v>189</v>
      </c>
    </row>
    <row r="37" spans="1:10" ht="15.6" x14ac:dyDescent="0.3">
      <c r="A37" s="5">
        <v>36</v>
      </c>
      <c r="B37" s="15">
        <v>63082</v>
      </c>
      <c r="C37" s="9" t="s">
        <v>44</v>
      </c>
      <c r="D37" s="5">
        <v>2008</v>
      </c>
      <c r="E37" s="7">
        <v>46441</v>
      </c>
      <c r="F37" s="13">
        <f ca="1">E37-TODAY()</f>
        <v>138</v>
      </c>
      <c r="G37" s="7">
        <v>46469</v>
      </c>
      <c r="H37" s="13">
        <f ca="1">G37-TODAY()</f>
        <v>166</v>
      </c>
      <c r="I37" s="13" t="s">
        <v>189</v>
      </c>
      <c r="J37" s="109"/>
    </row>
    <row r="38" spans="1:10" ht="15.6" x14ac:dyDescent="0.3">
      <c r="A38" s="114">
        <v>37</v>
      </c>
      <c r="B38" s="115">
        <v>77693</v>
      </c>
      <c r="C38" s="116" t="s">
        <v>16</v>
      </c>
      <c r="D38" s="114">
        <v>2025</v>
      </c>
      <c r="E38" s="117">
        <v>46443</v>
      </c>
      <c r="F38" s="118">
        <f ca="1">E38-TODAY()</f>
        <v>140</v>
      </c>
      <c r="G38" s="117">
        <v>46471</v>
      </c>
      <c r="H38" s="118">
        <f ca="1">G38-TODAY()</f>
        <v>168</v>
      </c>
      <c r="I38" s="118" t="s">
        <v>189</v>
      </c>
    </row>
    <row r="39" spans="1:10" ht="15.6" x14ac:dyDescent="0.3">
      <c r="A39" s="5">
        <v>38</v>
      </c>
      <c r="B39" s="15">
        <v>40110</v>
      </c>
      <c r="C39" s="9" t="s">
        <v>44</v>
      </c>
      <c r="D39" s="5">
        <v>2013</v>
      </c>
      <c r="E39" s="7">
        <v>46503</v>
      </c>
      <c r="F39" s="13">
        <f ca="1">E39-TODAY()</f>
        <v>200</v>
      </c>
      <c r="G39" s="7">
        <v>46533</v>
      </c>
      <c r="H39" s="13">
        <f ca="1">G39-TODAY()</f>
        <v>230</v>
      </c>
      <c r="I39" s="13" t="s">
        <v>189</v>
      </c>
      <c r="J39" s="109" t="s">
        <v>350</v>
      </c>
    </row>
    <row r="40" spans="1:10" ht="15.6" x14ac:dyDescent="0.3">
      <c r="A40" s="114">
        <v>39</v>
      </c>
      <c r="B40" s="115">
        <v>39081</v>
      </c>
      <c r="C40" s="116" t="s">
        <v>16</v>
      </c>
      <c r="D40" s="114">
        <v>2026</v>
      </c>
      <c r="E40" s="117">
        <v>46499</v>
      </c>
      <c r="F40" s="118">
        <f ca="1">E40-TODAY()</f>
        <v>196</v>
      </c>
      <c r="G40" s="117">
        <v>46529</v>
      </c>
      <c r="H40" s="118">
        <f ca="1">G40-TODAY()</f>
        <v>226</v>
      </c>
      <c r="I40" s="118" t="s">
        <v>189</v>
      </c>
    </row>
    <row r="41" spans="1:10" ht="15.6" x14ac:dyDescent="0.3">
      <c r="A41" s="5">
        <v>40</v>
      </c>
      <c r="B41" s="72">
        <v>33157</v>
      </c>
      <c r="C41" s="9" t="s">
        <v>16</v>
      </c>
      <c r="D41" s="173">
        <v>2026</v>
      </c>
      <c r="E41" s="71">
        <v>46430</v>
      </c>
      <c r="F41" s="13">
        <f ca="1">E41-TODAY()</f>
        <v>127</v>
      </c>
      <c r="G41" s="71">
        <v>46458</v>
      </c>
      <c r="H41" s="13">
        <f ca="1">G41-TODAY()</f>
        <v>155</v>
      </c>
      <c r="I41" s="89" t="s">
        <v>189</v>
      </c>
      <c r="J41" s="109"/>
    </row>
  </sheetData>
  <autoFilter ref="A1:G41">
    <sortState ref="A2:G40">
      <sortCondition ref="F1:F34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17"/>
  <sheetViews>
    <sheetView zoomScale="97" workbookViewId="0">
      <selection activeCell="G17" sqref="G17"/>
    </sheetView>
  </sheetViews>
  <sheetFormatPr defaultRowHeight="14.4" x14ac:dyDescent="0.3"/>
  <cols>
    <col min="1" max="1" width="9.109375" style="1"/>
    <col min="2" max="2" width="10.6640625" bestFit="1" customWidth="1"/>
    <col min="3" max="3" width="17.88671875" bestFit="1" customWidth="1"/>
    <col min="4" max="4" width="9.109375" style="1"/>
    <col min="5" max="5" width="20.109375" style="3" bestFit="1" customWidth="1"/>
    <col min="6" max="6" width="20.109375" style="3" customWidth="1"/>
    <col min="7" max="7" width="22.6640625" style="2" bestFit="1" customWidth="1"/>
    <col min="8" max="8" width="20.109375" style="3" customWidth="1"/>
    <col min="13" max="13" width="15.109375" customWidth="1"/>
  </cols>
  <sheetData>
    <row r="1" spans="1:13" ht="15.6" x14ac:dyDescent="0.3">
      <c r="A1" s="80" t="s">
        <v>5</v>
      </c>
      <c r="B1" s="80" t="s">
        <v>0</v>
      </c>
      <c r="C1" s="81" t="s">
        <v>10</v>
      </c>
      <c r="D1" s="80" t="s">
        <v>1</v>
      </c>
      <c r="E1" s="82" t="s">
        <v>2</v>
      </c>
      <c r="F1" s="82" t="s">
        <v>187</v>
      </c>
      <c r="G1" s="82" t="s">
        <v>4</v>
      </c>
      <c r="H1" s="82" t="s">
        <v>187</v>
      </c>
    </row>
    <row r="2" spans="1:13" ht="15.6" x14ac:dyDescent="0.3">
      <c r="A2" s="83">
        <v>1</v>
      </c>
      <c r="B2" s="84" t="s">
        <v>96</v>
      </c>
      <c r="C2" s="84" t="s">
        <v>60</v>
      </c>
      <c r="D2" s="83">
        <v>2024</v>
      </c>
      <c r="E2" s="85">
        <v>46406</v>
      </c>
      <c r="F2" s="86">
        <f ca="1">E2-TODAY()</f>
        <v>103</v>
      </c>
      <c r="G2" s="85">
        <v>46437</v>
      </c>
      <c r="H2" s="86">
        <f ca="1">G2-TODAY()</f>
        <v>134</v>
      </c>
    </row>
    <row r="3" spans="1:13" ht="15.6" x14ac:dyDescent="0.3">
      <c r="A3" s="83">
        <v>2</v>
      </c>
      <c r="B3" s="87" t="s">
        <v>99</v>
      </c>
      <c r="C3" s="84" t="s">
        <v>100</v>
      </c>
      <c r="D3" s="83">
        <v>2020</v>
      </c>
      <c r="E3" s="85">
        <v>46406</v>
      </c>
      <c r="F3" s="86">
        <f ca="1">E3-TODAY()</f>
        <v>103</v>
      </c>
      <c r="G3" s="85">
        <v>46437</v>
      </c>
      <c r="H3" s="86">
        <f ca="1">G3-TODAY()</f>
        <v>134</v>
      </c>
    </row>
    <row r="4" spans="1:13" ht="15.6" x14ac:dyDescent="0.3">
      <c r="A4" s="83">
        <v>3</v>
      </c>
      <c r="B4" s="84" t="s">
        <v>97</v>
      </c>
      <c r="C4" s="84" t="s">
        <v>24</v>
      </c>
      <c r="D4" s="83">
        <v>2013</v>
      </c>
      <c r="E4" s="85">
        <v>46409</v>
      </c>
      <c r="F4" s="86">
        <f ca="1">E4-TODAY()</f>
        <v>106</v>
      </c>
      <c r="G4" s="85">
        <v>46440</v>
      </c>
      <c r="H4" s="86">
        <f ca="1">G4-TODAY()</f>
        <v>137</v>
      </c>
    </row>
    <row r="5" spans="1:13" ht="15.6" x14ac:dyDescent="0.3">
      <c r="A5" s="83">
        <v>4</v>
      </c>
      <c r="B5" s="87" t="s">
        <v>98</v>
      </c>
      <c r="C5" s="84" t="s">
        <v>6</v>
      </c>
      <c r="D5" s="83">
        <v>2009</v>
      </c>
      <c r="E5" s="85">
        <v>46414</v>
      </c>
      <c r="F5" s="86">
        <f ca="1">E5-TODAY()</f>
        <v>111</v>
      </c>
      <c r="G5" s="85">
        <v>46445</v>
      </c>
      <c r="H5" s="86">
        <f ca="1">G5-TODAY()</f>
        <v>142</v>
      </c>
    </row>
    <row r="6" spans="1:13" ht="15.6" x14ac:dyDescent="0.3">
      <c r="A6" s="83">
        <v>5</v>
      </c>
      <c r="B6" s="84" t="s">
        <v>336</v>
      </c>
      <c r="C6" s="84" t="s">
        <v>337</v>
      </c>
      <c r="D6" s="86">
        <v>2025</v>
      </c>
      <c r="E6" s="85">
        <v>46409</v>
      </c>
      <c r="F6" s="86">
        <f ca="1">E6-TODAY()</f>
        <v>106</v>
      </c>
      <c r="G6" s="85">
        <v>46440</v>
      </c>
      <c r="H6" s="86">
        <f ca="1">G6-TODAY()</f>
        <v>137</v>
      </c>
    </row>
    <row r="7" spans="1:13" ht="15.6" x14ac:dyDescent="0.3">
      <c r="A7" s="83">
        <v>6</v>
      </c>
      <c r="B7" s="84" t="s">
        <v>101</v>
      </c>
      <c r="C7" s="84" t="s">
        <v>6</v>
      </c>
      <c r="D7" s="83">
        <v>2012</v>
      </c>
      <c r="E7" s="85">
        <v>46524</v>
      </c>
      <c r="F7" s="86">
        <v>205</v>
      </c>
      <c r="G7" s="85">
        <v>46555</v>
      </c>
      <c r="H7" s="86">
        <v>236</v>
      </c>
    </row>
    <row r="8" spans="1:13" ht="15.6" x14ac:dyDescent="0.3">
      <c r="A8" s="83">
        <v>7</v>
      </c>
      <c r="B8" s="84" t="s">
        <v>102</v>
      </c>
      <c r="C8" s="84" t="s">
        <v>6</v>
      </c>
      <c r="D8" s="83">
        <v>2012</v>
      </c>
      <c r="E8" s="85">
        <v>46524</v>
      </c>
      <c r="F8" s="86">
        <v>205</v>
      </c>
      <c r="G8" s="85">
        <v>46555</v>
      </c>
      <c r="H8" s="86">
        <v>236</v>
      </c>
    </row>
    <row r="9" spans="1:13" ht="15.6" x14ac:dyDescent="0.3">
      <c r="A9" s="83">
        <v>8</v>
      </c>
      <c r="B9" s="87" t="s">
        <v>103</v>
      </c>
      <c r="C9" s="84" t="s">
        <v>112</v>
      </c>
      <c r="D9" s="83">
        <v>2022</v>
      </c>
      <c r="E9" s="85">
        <v>46559</v>
      </c>
      <c r="F9" s="86">
        <v>205</v>
      </c>
      <c r="G9" s="85">
        <v>46589</v>
      </c>
      <c r="H9" s="86">
        <v>236</v>
      </c>
    </row>
    <row r="10" spans="1:13" ht="15.6" x14ac:dyDescent="0.3">
      <c r="A10" s="83">
        <v>9</v>
      </c>
      <c r="B10" s="87" t="s">
        <v>93</v>
      </c>
      <c r="C10" s="84" t="s">
        <v>33</v>
      </c>
      <c r="D10" s="83">
        <v>2023</v>
      </c>
      <c r="E10" s="85">
        <v>46559</v>
      </c>
      <c r="F10" s="86">
        <v>205</v>
      </c>
      <c r="G10" s="85">
        <v>46589</v>
      </c>
      <c r="H10" s="86">
        <f t="shared" ref="H10:H15" ca="1" si="0">G10-TODAY()</f>
        <v>286</v>
      </c>
    </row>
    <row r="11" spans="1:13" ht="15.6" x14ac:dyDescent="0.3">
      <c r="A11" s="83">
        <v>10</v>
      </c>
      <c r="B11" s="88">
        <v>76661</v>
      </c>
      <c r="C11" s="84" t="s">
        <v>324</v>
      </c>
      <c r="D11" s="83">
        <v>2006</v>
      </c>
      <c r="E11" s="85">
        <v>46590</v>
      </c>
      <c r="F11" s="86">
        <f ca="1">E11-TODAY()</f>
        <v>287</v>
      </c>
      <c r="G11" s="85">
        <v>46621</v>
      </c>
      <c r="H11" s="86">
        <f t="shared" ca="1" si="0"/>
        <v>318</v>
      </c>
    </row>
    <row r="12" spans="1:13" ht="15.6" x14ac:dyDescent="0.3">
      <c r="A12" s="83">
        <v>11</v>
      </c>
      <c r="B12" s="87" t="s">
        <v>95</v>
      </c>
      <c r="C12" s="84" t="s">
        <v>18</v>
      </c>
      <c r="D12" s="83">
        <v>2009</v>
      </c>
      <c r="E12" s="85">
        <v>46590</v>
      </c>
      <c r="F12" s="86">
        <f ca="1">E12-TODAY()</f>
        <v>287</v>
      </c>
      <c r="G12" s="85">
        <v>46621</v>
      </c>
      <c r="H12" s="86">
        <f t="shared" ca="1" si="0"/>
        <v>318</v>
      </c>
    </row>
    <row r="13" spans="1:13" ht="15.6" x14ac:dyDescent="0.3">
      <c r="A13" s="83">
        <v>12</v>
      </c>
      <c r="B13" s="87" t="s">
        <v>94</v>
      </c>
      <c r="C13" s="84" t="s">
        <v>6</v>
      </c>
      <c r="D13" s="83">
        <v>2014</v>
      </c>
      <c r="E13" s="85">
        <v>46619</v>
      </c>
      <c r="F13" s="86">
        <f ca="1">E13-TODAY()</f>
        <v>316</v>
      </c>
      <c r="G13" s="85">
        <v>46650</v>
      </c>
      <c r="H13" s="86">
        <f t="shared" ca="1" si="0"/>
        <v>347</v>
      </c>
    </row>
    <row r="14" spans="1:13" ht="15.6" x14ac:dyDescent="0.3">
      <c r="A14" s="24">
        <v>13</v>
      </c>
      <c r="B14" s="87" t="s">
        <v>333</v>
      </c>
      <c r="C14" s="84" t="s">
        <v>6</v>
      </c>
      <c r="D14" s="120">
        <v>2015</v>
      </c>
      <c r="E14" s="121">
        <v>46559</v>
      </c>
      <c r="F14" s="86">
        <f ca="1">E14-TODAY()</f>
        <v>256</v>
      </c>
      <c r="G14" s="121">
        <v>46589</v>
      </c>
      <c r="H14" s="86">
        <f t="shared" ca="1" si="0"/>
        <v>286</v>
      </c>
    </row>
    <row r="15" spans="1:13" ht="15.6" x14ac:dyDescent="0.3">
      <c r="A15" s="24">
        <v>14</v>
      </c>
      <c r="B15" s="84" t="s">
        <v>334</v>
      </c>
      <c r="C15" s="84" t="s">
        <v>335</v>
      </c>
      <c r="D15" s="120">
        <v>2025</v>
      </c>
      <c r="E15" s="121">
        <v>46409</v>
      </c>
      <c r="F15" s="86">
        <f ca="1">E15-TODAY()</f>
        <v>106</v>
      </c>
      <c r="G15" s="121">
        <v>46440</v>
      </c>
      <c r="H15" s="86">
        <f t="shared" ca="1" si="0"/>
        <v>137</v>
      </c>
      <c r="M15" s="25"/>
    </row>
    <row r="17" spans="13:13" x14ac:dyDescent="0.3">
      <c r="M17" s="25"/>
    </row>
  </sheetData>
  <autoFilter ref="A1:G15">
    <sortState ref="A2:G13">
      <sortCondition ref="F1:F13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6"/>
  <sheetViews>
    <sheetView workbookViewId="0">
      <selection activeCell="G21" sqref="G21"/>
    </sheetView>
  </sheetViews>
  <sheetFormatPr defaultRowHeight="14.4" x14ac:dyDescent="0.3"/>
  <cols>
    <col min="2" max="2" width="10.6640625" bestFit="1" customWidth="1"/>
    <col min="3" max="3" width="18" customWidth="1"/>
    <col min="4" max="4" width="8.109375" bestFit="1" customWidth="1"/>
    <col min="5" max="6" width="20.109375" customWidth="1"/>
    <col min="7" max="7" width="22.6640625" customWidth="1"/>
    <col min="8" max="8" width="20.109375" customWidth="1"/>
  </cols>
  <sheetData>
    <row r="1" spans="1:9" ht="15.6" x14ac:dyDescent="0.3">
      <c r="A1" s="16" t="s">
        <v>5</v>
      </c>
      <c r="B1" s="16" t="s">
        <v>0</v>
      </c>
      <c r="C1" s="18" t="s">
        <v>10</v>
      </c>
      <c r="D1" s="16" t="s">
        <v>1</v>
      </c>
      <c r="E1" s="19" t="s">
        <v>2</v>
      </c>
      <c r="F1" s="19" t="s">
        <v>187</v>
      </c>
      <c r="G1" s="19" t="s">
        <v>4</v>
      </c>
      <c r="H1" s="19" t="s">
        <v>187</v>
      </c>
      <c r="I1" s="76" t="s">
        <v>314</v>
      </c>
    </row>
    <row r="2" spans="1:9" ht="15.6" x14ac:dyDescent="0.3">
      <c r="A2" s="5">
        <v>1</v>
      </c>
      <c r="B2" s="13" t="s">
        <v>109</v>
      </c>
      <c r="C2" s="14" t="s">
        <v>54</v>
      </c>
      <c r="D2" s="5">
        <v>2007</v>
      </c>
      <c r="E2" s="7">
        <v>46574</v>
      </c>
      <c r="F2" s="13">
        <f t="shared" ref="F2:F7" ca="1" si="0">E2-TODAY()</f>
        <v>271</v>
      </c>
      <c r="G2" s="7">
        <v>46605</v>
      </c>
      <c r="H2" s="13">
        <f t="shared" ref="H2:H7" ca="1" si="1">G2-TODAY()</f>
        <v>302</v>
      </c>
      <c r="I2" t="s">
        <v>315</v>
      </c>
    </row>
    <row r="3" spans="1:9" ht="17.25" customHeight="1" x14ac:dyDescent="0.3">
      <c r="A3" s="5">
        <v>2</v>
      </c>
      <c r="B3" s="9" t="s">
        <v>150</v>
      </c>
      <c r="C3" s="6" t="s">
        <v>24</v>
      </c>
      <c r="D3" s="5">
        <v>2025</v>
      </c>
      <c r="E3" s="26">
        <v>46588</v>
      </c>
      <c r="F3" s="13">
        <f t="shared" ca="1" si="0"/>
        <v>285</v>
      </c>
      <c r="G3" s="26">
        <v>46619</v>
      </c>
      <c r="H3" s="13">
        <f t="shared" ca="1" si="1"/>
        <v>316</v>
      </c>
      <c r="I3" t="s">
        <v>315</v>
      </c>
    </row>
    <row r="4" spans="1:9" ht="15.6" x14ac:dyDescent="0.3">
      <c r="A4" s="5">
        <v>3</v>
      </c>
      <c r="B4" s="23" t="s">
        <v>104</v>
      </c>
      <c r="C4" s="22" t="s">
        <v>16</v>
      </c>
      <c r="D4" s="5">
        <v>2011</v>
      </c>
      <c r="E4" s="7">
        <v>46315</v>
      </c>
      <c r="F4" s="13">
        <f t="shared" ca="1" si="0"/>
        <v>12</v>
      </c>
      <c r="G4" s="7">
        <v>46346</v>
      </c>
      <c r="H4" s="13">
        <f t="shared" ca="1" si="1"/>
        <v>43</v>
      </c>
    </row>
    <row r="5" spans="1:9" ht="18.75" customHeight="1" x14ac:dyDescent="0.3">
      <c r="A5" s="5">
        <v>4</v>
      </c>
      <c r="B5" s="13" t="s">
        <v>105</v>
      </c>
      <c r="C5" s="14" t="s">
        <v>44</v>
      </c>
      <c r="D5" s="5">
        <v>2000</v>
      </c>
      <c r="E5" s="7">
        <v>46315</v>
      </c>
      <c r="F5" s="13">
        <f t="shared" ca="1" si="0"/>
        <v>12</v>
      </c>
      <c r="G5" s="7">
        <v>46346</v>
      </c>
      <c r="H5" s="13">
        <f t="shared" ca="1" si="1"/>
        <v>43</v>
      </c>
    </row>
    <row r="6" spans="1:9" ht="18.75" customHeight="1" x14ac:dyDescent="0.3">
      <c r="A6" s="5">
        <v>5</v>
      </c>
      <c r="B6" s="23" t="s">
        <v>106</v>
      </c>
      <c r="C6" s="22" t="s">
        <v>16</v>
      </c>
      <c r="D6" s="5">
        <v>2007</v>
      </c>
      <c r="E6" s="7">
        <v>46346</v>
      </c>
      <c r="F6" s="13">
        <f t="shared" ca="1" si="0"/>
        <v>43</v>
      </c>
      <c r="G6" s="7">
        <v>46376</v>
      </c>
      <c r="H6" s="13">
        <f t="shared" ca="1" si="1"/>
        <v>73</v>
      </c>
    </row>
    <row r="7" spans="1:9" ht="15.6" x14ac:dyDescent="0.3">
      <c r="A7" s="5">
        <v>6</v>
      </c>
      <c r="B7" s="13" t="s">
        <v>107</v>
      </c>
      <c r="C7" s="14" t="s">
        <v>108</v>
      </c>
      <c r="D7" s="5">
        <v>1989</v>
      </c>
      <c r="E7" s="7">
        <v>46346</v>
      </c>
      <c r="F7" s="13">
        <f t="shared" ca="1" si="0"/>
        <v>43</v>
      </c>
      <c r="G7" s="7">
        <v>46376</v>
      </c>
      <c r="H7" s="13">
        <f t="shared" ca="1" si="1"/>
        <v>73</v>
      </c>
    </row>
    <row r="8" spans="1:9" ht="15.6" x14ac:dyDescent="0.3">
      <c r="A8" s="37"/>
      <c r="B8" s="38"/>
    </row>
    <row r="16" spans="1:9" x14ac:dyDescent="0.3">
      <c r="G16" t="s">
        <v>134</v>
      </c>
    </row>
  </sheetData>
  <autoFilter ref="A1:G7">
    <sortState ref="A2:G7">
      <sortCondition ref="F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1"/>
  <sheetViews>
    <sheetView workbookViewId="0">
      <selection activeCell="K13" sqref="K13"/>
    </sheetView>
  </sheetViews>
  <sheetFormatPr defaultRowHeight="14.4" x14ac:dyDescent="0.3"/>
  <cols>
    <col min="1" max="1" width="9.109375" style="1"/>
    <col min="2" max="2" width="10.6640625" bestFit="1" customWidth="1"/>
    <col min="3" max="3" width="15.44140625" bestFit="1" customWidth="1"/>
    <col min="4" max="4" width="8.109375" style="1" bestFit="1" customWidth="1"/>
    <col min="5" max="5" width="20.109375" bestFit="1" customWidth="1"/>
    <col min="6" max="6" width="9.109375" style="1"/>
    <col min="7" max="7" width="22.6640625" bestFit="1" customWidth="1"/>
    <col min="8" max="8" width="9.109375" style="1"/>
  </cols>
  <sheetData>
    <row r="1" spans="1:8" ht="30.75" customHeight="1" x14ac:dyDescent="0.3">
      <c r="A1" s="16" t="s">
        <v>5</v>
      </c>
      <c r="B1" s="17" t="s">
        <v>0</v>
      </c>
      <c r="C1" s="18" t="s">
        <v>10</v>
      </c>
      <c r="D1" s="16" t="s">
        <v>1</v>
      </c>
      <c r="E1" s="19" t="s">
        <v>2</v>
      </c>
      <c r="F1" s="16" t="s">
        <v>3</v>
      </c>
      <c r="G1" s="19" t="s">
        <v>4</v>
      </c>
      <c r="H1" s="16" t="s">
        <v>3</v>
      </c>
    </row>
    <row r="2" spans="1:8" ht="15.6" x14ac:dyDescent="0.3">
      <c r="A2" s="5">
        <v>1</v>
      </c>
      <c r="B2" s="14" t="s">
        <v>46</v>
      </c>
      <c r="C2" s="9" t="s">
        <v>22</v>
      </c>
      <c r="D2" s="5">
        <v>2015</v>
      </c>
      <c r="E2" s="7">
        <v>46300</v>
      </c>
      <c r="F2" s="8">
        <f ca="1">E2-TODAY()</f>
        <v>-3</v>
      </c>
      <c r="G2" s="7">
        <v>46331</v>
      </c>
      <c r="H2" s="8">
        <f ca="1">G2-TODAY()</f>
        <v>28</v>
      </c>
    </row>
    <row r="3" spans="1:8" ht="15.6" x14ac:dyDescent="0.3">
      <c r="A3" s="10"/>
      <c r="B3" s="11"/>
      <c r="C3" s="11"/>
      <c r="D3" s="10"/>
      <c r="E3" s="12"/>
      <c r="F3" s="10"/>
      <c r="G3" s="12"/>
      <c r="H3" s="10"/>
    </row>
    <row r="4" spans="1:8" x14ac:dyDescent="0.3">
      <c r="E4" s="2"/>
      <c r="G4" s="2"/>
    </row>
    <row r="5" spans="1:8" x14ac:dyDescent="0.3">
      <c r="E5" s="2"/>
      <c r="G5" s="2"/>
    </row>
    <row r="6" spans="1:8" x14ac:dyDescent="0.3">
      <c r="E6" s="2"/>
      <c r="G6" s="2"/>
    </row>
    <row r="7" spans="1:8" x14ac:dyDescent="0.3">
      <c r="E7" s="2"/>
      <c r="G7" s="2"/>
    </row>
    <row r="8" spans="1:8" x14ac:dyDescent="0.3">
      <c r="E8" s="2"/>
      <c r="G8" s="2"/>
    </row>
    <row r="9" spans="1:8" x14ac:dyDescent="0.3">
      <c r="E9" s="2"/>
      <c r="G9" s="2"/>
    </row>
    <row r="10" spans="1:8" x14ac:dyDescent="0.3">
      <c r="E10" s="2"/>
      <c r="G10" s="2"/>
    </row>
    <row r="11" spans="1:8" x14ac:dyDescent="0.3">
      <c r="E11" s="2"/>
      <c r="G11" s="2"/>
    </row>
    <row r="12" spans="1:8" x14ac:dyDescent="0.3">
      <c r="E12" s="2"/>
      <c r="G12" s="2"/>
    </row>
    <row r="13" spans="1:8" x14ac:dyDescent="0.3">
      <c r="E13" s="2"/>
      <c r="G13" s="2"/>
    </row>
    <row r="14" spans="1:8" x14ac:dyDescent="0.3">
      <c r="E14" s="2"/>
      <c r="G14" s="2"/>
    </row>
    <row r="15" spans="1:8" x14ac:dyDescent="0.3">
      <c r="E15" s="2"/>
      <c r="G15" s="2"/>
    </row>
    <row r="16" spans="1:8" x14ac:dyDescent="0.3">
      <c r="E16" s="2"/>
      <c r="G16" s="2"/>
    </row>
    <row r="17" spans="5:7" x14ac:dyDescent="0.3">
      <c r="E17" s="2"/>
      <c r="G17" s="2"/>
    </row>
    <row r="18" spans="5:7" x14ac:dyDescent="0.3">
      <c r="E18" s="2"/>
      <c r="G18" s="2"/>
    </row>
    <row r="19" spans="5:7" x14ac:dyDescent="0.3">
      <c r="E19" s="2"/>
      <c r="G19" s="2"/>
    </row>
    <row r="20" spans="5:7" x14ac:dyDescent="0.3">
      <c r="E20" s="2"/>
      <c r="G20" s="2"/>
    </row>
    <row r="21" spans="5:7" x14ac:dyDescent="0.3">
      <c r="E21" s="2"/>
      <c r="G21" s="2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ABAA3169-1A22-4EFC-BCDF-4A1D8812C8AB}">
            <xm:f>NOT(ISERROR(SEARCH("-",F1)))</xm:f>
            <xm:f>"-"</xm:f>
            <x14:dxf>
              <fill>
                <patternFill>
                  <bgColor rgb="FFFF0000"/>
                </patternFill>
              </fill>
            </x14:dxf>
          </x14:cfRule>
          <xm:sqref>F1:F1048576 H1:H1048576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="86" zoomScaleNormal="86" workbookViewId="0">
      <selection activeCell="E29" sqref="E29"/>
    </sheetView>
  </sheetViews>
  <sheetFormatPr defaultRowHeight="14.4" x14ac:dyDescent="0.3"/>
  <cols>
    <col min="1" max="1" width="5.5546875" bestFit="1" customWidth="1"/>
    <col min="2" max="2" width="10.21875" bestFit="1" customWidth="1"/>
    <col min="3" max="3" width="13.88671875" bestFit="1" customWidth="1"/>
    <col min="4" max="4" width="7.88671875" bestFit="1" customWidth="1"/>
    <col min="5" max="5" width="19.33203125" bestFit="1" customWidth="1"/>
    <col min="6" max="6" width="12" bestFit="1" customWidth="1"/>
    <col min="7" max="7" width="21.77734375" bestFit="1" customWidth="1"/>
    <col min="8" max="8" width="12" bestFit="1" customWidth="1"/>
  </cols>
  <sheetData>
    <row r="1" spans="1:9" ht="15.6" x14ac:dyDescent="0.3">
      <c r="A1" s="16" t="s">
        <v>5</v>
      </c>
      <c r="B1" s="17" t="s">
        <v>0</v>
      </c>
      <c r="C1" s="18" t="s">
        <v>10</v>
      </c>
      <c r="D1" s="16" t="s">
        <v>1</v>
      </c>
      <c r="E1" s="19" t="s">
        <v>2</v>
      </c>
      <c r="F1" s="19" t="s">
        <v>187</v>
      </c>
      <c r="G1" s="19" t="s">
        <v>4</v>
      </c>
      <c r="H1" s="19" t="s">
        <v>187</v>
      </c>
    </row>
    <row r="2" spans="1:9" ht="15.6" x14ac:dyDescent="0.3">
      <c r="A2" s="24">
        <v>1</v>
      </c>
      <c r="B2" s="175" t="s">
        <v>340</v>
      </c>
      <c r="C2" s="24" t="s">
        <v>341</v>
      </c>
      <c r="D2" s="24">
        <v>2007</v>
      </c>
      <c r="E2" s="79">
        <v>46566</v>
      </c>
      <c r="F2" s="13">
        <f t="shared" ref="F2:F8" ca="1" si="0">E2-TODAY()</f>
        <v>263</v>
      </c>
      <c r="G2" s="79">
        <v>46596</v>
      </c>
      <c r="H2" s="13">
        <f t="shared" ref="H2:H8" ca="1" si="1">G2-TODAY()</f>
        <v>293</v>
      </c>
    </row>
    <row r="3" spans="1:9" ht="15.6" x14ac:dyDescent="0.3">
      <c r="A3" s="24">
        <v>2</v>
      </c>
      <c r="B3" s="175" t="s">
        <v>343</v>
      </c>
      <c r="C3" s="164" t="s">
        <v>341</v>
      </c>
      <c r="D3" s="164">
        <v>2015</v>
      </c>
      <c r="E3" s="165">
        <v>46580</v>
      </c>
      <c r="F3" s="112">
        <f t="shared" ca="1" si="0"/>
        <v>277</v>
      </c>
      <c r="G3" s="165">
        <v>46611</v>
      </c>
      <c r="H3" s="112">
        <f t="shared" ca="1" si="1"/>
        <v>308</v>
      </c>
    </row>
    <row r="4" spans="1:9" ht="15.6" x14ac:dyDescent="0.3">
      <c r="A4" s="24">
        <v>3</v>
      </c>
      <c r="B4" s="120" t="s">
        <v>344</v>
      </c>
      <c r="C4" s="24" t="s">
        <v>341</v>
      </c>
      <c r="D4" s="24">
        <v>2007</v>
      </c>
      <c r="E4" s="79">
        <v>46581</v>
      </c>
      <c r="F4" s="13">
        <f t="shared" ca="1" si="0"/>
        <v>278</v>
      </c>
      <c r="G4" s="79">
        <v>46612</v>
      </c>
      <c r="H4" s="13">
        <f t="shared" ca="1" si="1"/>
        <v>309</v>
      </c>
    </row>
    <row r="5" spans="1:9" ht="15.6" x14ac:dyDescent="0.3">
      <c r="A5" s="24">
        <v>4</v>
      </c>
      <c r="B5" s="120" t="s">
        <v>345</v>
      </c>
      <c r="C5" s="24" t="s">
        <v>324</v>
      </c>
      <c r="D5" s="24">
        <v>2026</v>
      </c>
      <c r="E5" s="79">
        <v>46581</v>
      </c>
      <c r="F5" s="13">
        <f t="shared" ca="1" si="0"/>
        <v>278</v>
      </c>
      <c r="G5" s="79">
        <v>46612</v>
      </c>
      <c r="H5" s="13">
        <f t="shared" ca="1" si="1"/>
        <v>309</v>
      </c>
    </row>
    <row r="6" spans="1:9" ht="15.6" x14ac:dyDescent="0.3">
      <c r="A6" s="24">
        <v>5</v>
      </c>
      <c r="B6" s="120" t="s">
        <v>349</v>
      </c>
      <c r="C6" s="24" t="s">
        <v>341</v>
      </c>
      <c r="D6" s="24">
        <v>2014</v>
      </c>
      <c r="E6" s="79">
        <v>46588</v>
      </c>
      <c r="F6" s="13">
        <f t="shared" ca="1" si="0"/>
        <v>285</v>
      </c>
      <c r="G6" s="79">
        <v>46619</v>
      </c>
      <c r="H6" s="13">
        <f t="shared" ca="1" si="1"/>
        <v>316</v>
      </c>
      <c r="I6" t="s">
        <v>463</v>
      </c>
    </row>
    <row r="7" spans="1:9" ht="15.6" x14ac:dyDescent="0.3">
      <c r="A7" s="24">
        <v>6</v>
      </c>
      <c r="B7" s="120" t="s">
        <v>464</v>
      </c>
      <c r="C7" s="24" t="s">
        <v>341</v>
      </c>
      <c r="D7" s="24">
        <v>2007</v>
      </c>
      <c r="E7" s="79">
        <v>46654</v>
      </c>
      <c r="F7" s="13">
        <f t="shared" ca="1" si="0"/>
        <v>351</v>
      </c>
      <c r="G7" s="79">
        <v>46684</v>
      </c>
      <c r="H7" s="13">
        <f t="shared" ca="1" si="1"/>
        <v>381</v>
      </c>
    </row>
    <row r="8" spans="1:9" ht="15.6" x14ac:dyDescent="0.3">
      <c r="A8" s="24">
        <v>7</v>
      </c>
      <c r="B8" s="120" t="s">
        <v>453</v>
      </c>
      <c r="C8" s="24" t="s">
        <v>324</v>
      </c>
      <c r="D8" s="24">
        <v>2026</v>
      </c>
      <c r="E8" s="79">
        <v>46611</v>
      </c>
      <c r="F8" s="13">
        <f t="shared" ca="1" si="0"/>
        <v>308</v>
      </c>
      <c r="G8" s="79">
        <v>46642</v>
      </c>
      <c r="H8" s="13">
        <f t="shared" ca="1" si="1"/>
        <v>339</v>
      </c>
    </row>
  </sheetData>
  <autoFilter ref="A1:H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workbookViewId="0">
      <selection activeCell="I1" sqref="I1:M1048576"/>
    </sheetView>
  </sheetViews>
  <sheetFormatPr defaultRowHeight="13.8" customHeight="1" x14ac:dyDescent="0.3"/>
  <cols>
    <col min="5" max="5" width="11" bestFit="1" customWidth="1"/>
    <col min="8" max="8" width="32.44140625" bestFit="1" customWidth="1"/>
    <col min="9" max="9" width="24" hidden="1" customWidth="1"/>
    <col min="10" max="10" width="15.44140625" hidden="1" customWidth="1"/>
    <col min="11" max="11" width="12.44140625" hidden="1" customWidth="1"/>
    <col min="12" max="12" width="14.21875" hidden="1" customWidth="1"/>
    <col min="13" max="13" width="21.33203125" hidden="1" customWidth="1"/>
  </cols>
  <sheetData>
    <row r="1" spans="1:13" ht="13.8" customHeight="1" x14ac:dyDescent="0.3">
      <c r="A1" s="122" t="s">
        <v>351</v>
      </c>
      <c r="B1" s="123" t="s">
        <v>352</v>
      </c>
      <c r="C1" s="123" t="s">
        <v>353</v>
      </c>
      <c r="D1" s="123" t="s">
        <v>354</v>
      </c>
      <c r="E1" s="123" t="s">
        <v>355</v>
      </c>
      <c r="F1" s="123" t="s">
        <v>356</v>
      </c>
      <c r="G1" s="123" t="s">
        <v>357</v>
      </c>
      <c r="H1" s="123" t="s">
        <v>358</v>
      </c>
      <c r="I1" s="123" t="s">
        <v>359</v>
      </c>
      <c r="J1" s="123" t="s">
        <v>360</v>
      </c>
      <c r="K1" s="124" t="s">
        <v>361</v>
      </c>
      <c r="L1" s="124" t="s">
        <v>362</v>
      </c>
      <c r="M1" s="124" t="s">
        <v>363</v>
      </c>
    </row>
    <row r="2" spans="1:13" ht="13.8" customHeight="1" x14ac:dyDescent="0.3">
      <c r="A2" s="125">
        <v>1</v>
      </c>
      <c r="B2" s="126">
        <v>7191</v>
      </c>
      <c r="C2" s="126"/>
      <c r="D2" s="127" t="s">
        <v>179</v>
      </c>
      <c r="E2" s="123" t="s">
        <v>44</v>
      </c>
      <c r="F2" s="123" t="s">
        <v>364</v>
      </c>
      <c r="G2" s="123">
        <v>2006</v>
      </c>
      <c r="H2" s="123" t="s">
        <v>365</v>
      </c>
      <c r="I2" s="128" t="s">
        <v>283</v>
      </c>
      <c r="J2" s="129">
        <v>501478589</v>
      </c>
      <c r="K2" s="130"/>
      <c r="L2" s="130"/>
      <c r="M2" s="131"/>
    </row>
    <row r="3" spans="1:13" ht="13.8" customHeight="1" x14ac:dyDescent="0.3">
      <c r="A3" s="123">
        <v>2</v>
      </c>
      <c r="B3" s="126">
        <v>9158</v>
      </c>
      <c r="C3" s="126"/>
      <c r="D3" s="127" t="s">
        <v>179</v>
      </c>
      <c r="E3" s="123" t="s">
        <v>44</v>
      </c>
      <c r="F3" s="123" t="s">
        <v>366</v>
      </c>
      <c r="G3" s="123">
        <v>2005</v>
      </c>
      <c r="H3" s="123" t="s">
        <v>365</v>
      </c>
      <c r="I3" s="128" t="s">
        <v>255</v>
      </c>
      <c r="J3" s="129">
        <v>526132472</v>
      </c>
      <c r="K3" s="129"/>
      <c r="L3" s="129"/>
      <c r="M3" s="131"/>
    </row>
    <row r="4" spans="1:13" ht="13.8" customHeight="1" x14ac:dyDescent="0.3">
      <c r="A4" s="125">
        <v>3</v>
      </c>
      <c r="B4" s="126">
        <v>10768</v>
      </c>
      <c r="C4" s="126"/>
      <c r="D4" s="127" t="s">
        <v>367</v>
      </c>
      <c r="E4" s="123" t="s">
        <v>76</v>
      </c>
      <c r="F4" s="123">
        <v>4534</v>
      </c>
      <c r="G4" s="123">
        <v>2009</v>
      </c>
      <c r="H4" s="123" t="s">
        <v>297</v>
      </c>
      <c r="I4" s="128" t="s">
        <v>368</v>
      </c>
      <c r="J4" s="129">
        <v>506478968</v>
      </c>
      <c r="K4" s="129"/>
      <c r="L4" s="129"/>
      <c r="M4" s="131"/>
    </row>
    <row r="5" spans="1:13" ht="13.8" customHeight="1" x14ac:dyDescent="0.3">
      <c r="A5" s="123">
        <v>4</v>
      </c>
      <c r="B5" s="126">
        <v>16459</v>
      </c>
      <c r="C5" s="126"/>
      <c r="D5" s="127" t="s">
        <v>367</v>
      </c>
      <c r="E5" s="123" t="s">
        <v>369</v>
      </c>
      <c r="F5" s="123">
        <v>1726</v>
      </c>
      <c r="G5" s="123">
        <v>1989</v>
      </c>
      <c r="H5" s="123" t="s">
        <v>298</v>
      </c>
      <c r="I5" s="132"/>
      <c r="J5" s="133"/>
      <c r="K5" s="133"/>
      <c r="L5" s="133"/>
      <c r="M5" s="131"/>
    </row>
    <row r="6" spans="1:13" ht="13.8" customHeight="1" x14ac:dyDescent="0.3">
      <c r="A6" s="125">
        <v>5</v>
      </c>
      <c r="B6" s="126">
        <v>20118</v>
      </c>
      <c r="C6" s="126"/>
      <c r="D6" s="127" t="s">
        <v>179</v>
      </c>
      <c r="E6" s="123" t="s">
        <v>44</v>
      </c>
      <c r="F6" s="123" t="s">
        <v>366</v>
      </c>
      <c r="G6" s="123">
        <v>1999</v>
      </c>
      <c r="H6" s="123" t="s">
        <v>365</v>
      </c>
      <c r="I6" s="128" t="s">
        <v>370</v>
      </c>
      <c r="J6" s="129">
        <v>554365639</v>
      </c>
      <c r="K6" s="129"/>
      <c r="L6" s="129"/>
      <c r="M6" s="131"/>
    </row>
    <row r="7" spans="1:13" ht="13.8" customHeight="1" x14ac:dyDescent="0.3">
      <c r="A7" s="123">
        <v>6</v>
      </c>
      <c r="B7" s="126">
        <v>22422</v>
      </c>
      <c r="C7" s="126"/>
      <c r="D7" s="127" t="s">
        <v>179</v>
      </c>
      <c r="E7" s="123" t="s">
        <v>44</v>
      </c>
      <c r="F7" s="123" t="s">
        <v>364</v>
      </c>
      <c r="G7" s="123">
        <v>2009</v>
      </c>
      <c r="H7" s="123" t="s">
        <v>365</v>
      </c>
      <c r="I7" s="135"/>
      <c r="J7" s="136"/>
      <c r="K7" s="136"/>
      <c r="L7" s="136"/>
      <c r="M7" s="131"/>
    </row>
    <row r="8" spans="1:13" ht="13.8" customHeight="1" x14ac:dyDescent="0.3">
      <c r="A8" s="125">
        <v>7</v>
      </c>
      <c r="B8" s="126">
        <v>23950</v>
      </c>
      <c r="C8" s="126"/>
      <c r="D8" s="127" t="s">
        <v>179</v>
      </c>
      <c r="E8" s="123" t="s">
        <v>44</v>
      </c>
      <c r="F8" s="123" t="s">
        <v>364</v>
      </c>
      <c r="G8" s="123">
        <v>2009</v>
      </c>
      <c r="H8" s="123" t="s">
        <v>365</v>
      </c>
      <c r="I8" s="128" t="s">
        <v>287</v>
      </c>
      <c r="J8" s="129">
        <v>526424107</v>
      </c>
      <c r="K8" s="129"/>
      <c r="L8" s="129"/>
      <c r="M8" s="131"/>
    </row>
    <row r="9" spans="1:13" ht="13.8" customHeight="1" x14ac:dyDescent="0.3">
      <c r="A9" s="123">
        <v>8</v>
      </c>
      <c r="B9" s="126">
        <v>24725</v>
      </c>
      <c r="C9" s="126"/>
      <c r="D9" s="127" t="s">
        <v>367</v>
      </c>
      <c r="E9" s="123" t="s">
        <v>44</v>
      </c>
      <c r="F9" s="123" t="s">
        <v>371</v>
      </c>
      <c r="G9" s="123">
        <v>2011</v>
      </c>
      <c r="H9" s="123" t="s">
        <v>372</v>
      </c>
      <c r="I9" s="128" t="s">
        <v>373</v>
      </c>
      <c r="J9" s="129">
        <v>569247720</v>
      </c>
      <c r="K9" s="129"/>
      <c r="L9" s="129"/>
      <c r="M9" s="131"/>
    </row>
    <row r="10" spans="1:13" ht="13.8" customHeight="1" x14ac:dyDescent="0.3">
      <c r="A10" s="125">
        <v>9</v>
      </c>
      <c r="B10" s="126">
        <v>25520</v>
      </c>
      <c r="C10" s="126"/>
      <c r="D10" s="127" t="s">
        <v>367</v>
      </c>
      <c r="E10" s="123" t="s">
        <v>44</v>
      </c>
      <c r="F10" s="123" t="s">
        <v>371</v>
      </c>
      <c r="G10" s="123">
        <v>2011</v>
      </c>
      <c r="H10" s="123" t="s">
        <v>372</v>
      </c>
      <c r="I10" s="128" t="s">
        <v>374</v>
      </c>
      <c r="J10" s="129">
        <v>506021526</v>
      </c>
      <c r="K10" s="129"/>
      <c r="L10" s="129"/>
      <c r="M10" s="131"/>
    </row>
    <row r="11" spans="1:13" ht="13.8" customHeight="1" x14ac:dyDescent="0.3">
      <c r="A11" s="123">
        <v>10</v>
      </c>
      <c r="B11" s="126">
        <v>27294</v>
      </c>
      <c r="C11" s="126"/>
      <c r="D11" s="127" t="s">
        <v>367</v>
      </c>
      <c r="E11" s="123" t="s">
        <v>44</v>
      </c>
      <c r="F11" s="123" t="s">
        <v>371</v>
      </c>
      <c r="G11" s="123">
        <v>2011</v>
      </c>
      <c r="H11" s="123" t="s">
        <v>372</v>
      </c>
      <c r="I11" s="128" t="s">
        <v>254</v>
      </c>
      <c r="J11" s="137">
        <v>545704405</v>
      </c>
      <c r="K11" s="137"/>
      <c r="L11" s="137"/>
      <c r="M11" s="131"/>
    </row>
    <row r="12" spans="1:13" ht="13.8" customHeight="1" x14ac:dyDescent="0.3">
      <c r="A12" s="125">
        <v>11</v>
      </c>
      <c r="B12" s="126">
        <v>28178</v>
      </c>
      <c r="C12" s="126"/>
      <c r="D12" s="127" t="s">
        <v>367</v>
      </c>
      <c r="E12" s="123" t="s">
        <v>44</v>
      </c>
      <c r="F12" s="123" t="s">
        <v>371</v>
      </c>
      <c r="G12" s="123">
        <v>2008</v>
      </c>
      <c r="H12" s="123" t="s">
        <v>372</v>
      </c>
      <c r="I12" s="128" t="s">
        <v>375</v>
      </c>
      <c r="J12" s="129">
        <v>565203582</v>
      </c>
      <c r="K12" s="129"/>
      <c r="L12" s="129"/>
      <c r="M12" s="123"/>
    </row>
    <row r="13" spans="1:13" ht="13.8" customHeight="1" x14ac:dyDescent="0.3">
      <c r="A13" s="123">
        <v>12</v>
      </c>
      <c r="B13" s="126">
        <v>28647</v>
      </c>
      <c r="C13" s="126"/>
      <c r="D13" s="127" t="s">
        <v>179</v>
      </c>
      <c r="E13" s="123" t="s">
        <v>44</v>
      </c>
      <c r="F13" s="123" t="s">
        <v>417</v>
      </c>
      <c r="G13" s="123">
        <v>2013</v>
      </c>
      <c r="H13" s="123" t="s">
        <v>365</v>
      </c>
      <c r="I13" s="128" t="s">
        <v>285</v>
      </c>
      <c r="J13" s="129">
        <v>501480492</v>
      </c>
      <c r="K13" s="129"/>
      <c r="L13" s="129"/>
      <c r="M13" s="123"/>
    </row>
    <row r="14" spans="1:13" ht="13.8" customHeight="1" x14ac:dyDescent="0.3">
      <c r="A14" s="125">
        <v>13</v>
      </c>
      <c r="B14" s="126">
        <v>29865</v>
      </c>
      <c r="C14" s="126"/>
      <c r="D14" s="127" t="s">
        <v>367</v>
      </c>
      <c r="E14" s="125" t="s">
        <v>44</v>
      </c>
      <c r="F14" s="125" t="s">
        <v>371</v>
      </c>
      <c r="G14" s="125">
        <v>2013</v>
      </c>
      <c r="H14" s="125" t="s">
        <v>372</v>
      </c>
      <c r="I14" s="128" t="s">
        <v>376</v>
      </c>
      <c r="J14" s="129">
        <v>509026619</v>
      </c>
      <c r="K14" s="129"/>
      <c r="L14" s="129"/>
      <c r="M14" s="123"/>
    </row>
    <row r="15" spans="1:13" ht="13.8" customHeight="1" x14ac:dyDescent="0.3">
      <c r="A15" s="123">
        <v>14</v>
      </c>
      <c r="B15" s="126">
        <v>30064</v>
      </c>
      <c r="C15" s="126"/>
      <c r="D15" s="127" t="s">
        <v>367</v>
      </c>
      <c r="E15" s="123" t="s">
        <v>44</v>
      </c>
      <c r="F15" s="123" t="s">
        <v>371</v>
      </c>
      <c r="G15" s="123">
        <v>2013</v>
      </c>
      <c r="H15" s="123" t="s">
        <v>372</v>
      </c>
      <c r="I15" s="128" t="s">
        <v>377</v>
      </c>
      <c r="J15" s="129">
        <v>561997159</v>
      </c>
      <c r="K15" s="129"/>
      <c r="L15" s="129"/>
      <c r="M15" s="123"/>
    </row>
    <row r="16" spans="1:13" ht="13.8" customHeight="1" x14ac:dyDescent="0.3">
      <c r="A16" s="125">
        <v>15</v>
      </c>
      <c r="B16" s="126">
        <v>31872</v>
      </c>
      <c r="C16" s="126"/>
      <c r="D16" s="127" t="s">
        <v>367</v>
      </c>
      <c r="E16" s="123" t="s">
        <v>44</v>
      </c>
      <c r="F16" s="123" t="s">
        <v>378</v>
      </c>
      <c r="G16" s="123">
        <v>2015</v>
      </c>
      <c r="H16" s="123" t="s">
        <v>372</v>
      </c>
      <c r="I16" s="128" t="s">
        <v>253</v>
      </c>
      <c r="J16" s="129">
        <v>563586008</v>
      </c>
      <c r="K16" s="129"/>
      <c r="L16" s="129"/>
      <c r="M16" s="123"/>
    </row>
    <row r="17" spans="1:13" ht="13.8" customHeight="1" x14ac:dyDescent="0.3">
      <c r="A17" s="123">
        <v>16</v>
      </c>
      <c r="B17" s="126">
        <v>32149</v>
      </c>
      <c r="C17" s="126"/>
      <c r="D17" s="127" t="s">
        <v>367</v>
      </c>
      <c r="E17" s="123" t="s">
        <v>76</v>
      </c>
      <c r="F17" s="123">
        <v>4534</v>
      </c>
      <c r="G17" s="123">
        <v>2009</v>
      </c>
      <c r="H17" s="123" t="s">
        <v>299</v>
      </c>
      <c r="I17" s="128" t="s">
        <v>379</v>
      </c>
      <c r="J17" s="129">
        <v>508995079</v>
      </c>
      <c r="K17" s="129"/>
      <c r="L17" s="129"/>
      <c r="M17" s="123"/>
    </row>
    <row r="18" spans="1:13" ht="13.8" customHeight="1" x14ac:dyDescent="0.3">
      <c r="A18" s="125">
        <v>17</v>
      </c>
      <c r="B18" s="126">
        <v>33265</v>
      </c>
      <c r="C18" s="126"/>
      <c r="D18" s="127" t="s">
        <v>367</v>
      </c>
      <c r="E18" s="123" t="s">
        <v>44</v>
      </c>
      <c r="F18" s="123" t="s">
        <v>380</v>
      </c>
      <c r="G18" s="123">
        <v>2012</v>
      </c>
      <c r="H18" s="123" t="s">
        <v>372</v>
      </c>
      <c r="I18" s="128" t="s">
        <v>274</v>
      </c>
      <c r="J18" s="129">
        <v>502747432</v>
      </c>
      <c r="K18" s="129"/>
      <c r="L18" s="129"/>
      <c r="M18" s="123"/>
    </row>
    <row r="19" spans="1:13" ht="13.8" customHeight="1" x14ac:dyDescent="0.3">
      <c r="A19" s="123">
        <v>18</v>
      </c>
      <c r="B19" s="126">
        <v>35059</v>
      </c>
      <c r="C19" s="126"/>
      <c r="D19" s="127" t="s">
        <v>367</v>
      </c>
      <c r="E19" s="123" t="s">
        <v>44</v>
      </c>
      <c r="F19" s="123" t="s">
        <v>378</v>
      </c>
      <c r="G19" s="123">
        <v>2012</v>
      </c>
      <c r="H19" s="123" t="s">
        <v>372</v>
      </c>
      <c r="I19" s="128" t="s">
        <v>264</v>
      </c>
      <c r="J19" s="129">
        <v>502747623</v>
      </c>
      <c r="K19" s="129"/>
      <c r="L19" s="129"/>
      <c r="M19" s="123"/>
    </row>
    <row r="20" spans="1:13" ht="13.8" customHeight="1" x14ac:dyDescent="0.3">
      <c r="A20" s="125">
        <v>19</v>
      </c>
      <c r="B20" s="126">
        <v>35099</v>
      </c>
      <c r="C20" s="126"/>
      <c r="D20" s="127" t="s">
        <v>367</v>
      </c>
      <c r="E20" s="123" t="s">
        <v>44</v>
      </c>
      <c r="F20" s="123" t="s">
        <v>364</v>
      </c>
      <c r="G20" s="123">
        <v>2012</v>
      </c>
      <c r="H20" s="123" t="s">
        <v>372</v>
      </c>
      <c r="I20" s="128" t="s">
        <v>230</v>
      </c>
      <c r="J20" s="129">
        <v>562178076</v>
      </c>
      <c r="K20" s="129"/>
      <c r="L20" s="129"/>
      <c r="M20" s="123"/>
    </row>
    <row r="21" spans="1:13" ht="13.8" customHeight="1" x14ac:dyDescent="0.3">
      <c r="A21" s="123">
        <v>20</v>
      </c>
      <c r="B21" s="126">
        <v>35804</v>
      </c>
      <c r="C21" s="126"/>
      <c r="D21" s="127" t="s">
        <v>367</v>
      </c>
      <c r="E21" s="123" t="s">
        <v>44</v>
      </c>
      <c r="F21" s="123" t="s">
        <v>364</v>
      </c>
      <c r="G21" s="123">
        <v>2012</v>
      </c>
      <c r="H21" s="123" t="s">
        <v>372</v>
      </c>
      <c r="I21" s="128" t="s">
        <v>381</v>
      </c>
      <c r="J21" s="129">
        <v>527820467</v>
      </c>
      <c r="K21" s="129"/>
      <c r="L21" s="129"/>
      <c r="M21" s="123"/>
    </row>
    <row r="22" spans="1:13" ht="13.8" customHeight="1" x14ac:dyDescent="0.3">
      <c r="A22" s="125">
        <v>21</v>
      </c>
      <c r="B22" s="126">
        <v>36468</v>
      </c>
      <c r="C22" s="126"/>
      <c r="D22" s="127" t="s">
        <v>179</v>
      </c>
      <c r="E22" s="123" t="s">
        <v>44</v>
      </c>
      <c r="F22" s="123" t="s">
        <v>371</v>
      </c>
      <c r="G22" s="123">
        <v>2011</v>
      </c>
      <c r="H22" s="123" t="s">
        <v>365</v>
      </c>
      <c r="I22" s="128" t="s">
        <v>382</v>
      </c>
      <c r="J22" s="129">
        <v>501150062</v>
      </c>
      <c r="K22" s="129"/>
      <c r="L22" s="129"/>
      <c r="M22" s="123"/>
    </row>
    <row r="23" spans="1:13" ht="13.8" customHeight="1" x14ac:dyDescent="0.3">
      <c r="A23" s="123">
        <v>22</v>
      </c>
      <c r="B23" s="126">
        <v>38948</v>
      </c>
      <c r="C23" s="126"/>
      <c r="D23" s="127" t="s">
        <v>179</v>
      </c>
      <c r="E23" s="123" t="s">
        <v>44</v>
      </c>
      <c r="F23" s="123" t="s">
        <v>364</v>
      </c>
      <c r="G23" s="123">
        <v>2011</v>
      </c>
      <c r="H23" s="123" t="s">
        <v>365</v>
      </c>
      <c r="I23" s="128" t="s">
        <v>284</v>
      </c>
      <c r="J23" s="129">
        <v>565155906</v>
      </c>
      <c r="K23" s="129"/>
      <c r="L23" s="129"/>
      <c r="M23" s="123"/>
    </row>
    <row r="24" spans="1:13" ht="13.8" customHeight="1" x14ac:dyDescent="0.3">
      <c r="A24" s="125">
        <v>23</v>
      </c>
      <c r="B24" s="126">
        <v>39643</v>
      </c>
      <c r="C24" s="126"/>
      <c r="D24" s="127" t="s">
        <v>367</v>
      </c>
      <c r="E24" s="123" t="s">
        <v>44</v>
      </c>
      <c r="F24" s="123" t="s">
        <v>364</v>
      </c>
      <c r="G24" s="123">
        <v>2015</v>
      </c>
      <c r="H24" s="123" t="s">
        <v>372</v>
      </c>
      <c r="I24" s="128" t="s">
        <v>383</v>
      </c>
      <c r="J24" s="129">
        <v>506339689</v>
      </c>
      <c r="K24" s="129"/>
      <c r="L24" s="129"/>
      <c r="M24" s="123"/>
    </row>
    <row r="25" spans="1:13" ht="13.8" customHeight="1" x14ac:dyDescent="0.3">
      <c r="A25" s="123">
        <v>24</v>
      </c>
      <c r="B25" s="126">
        <v>39645</v>
      </c>
      <c r="C25" s="126"/>
      <c r="D25" s="127" t="s">
        <v>367</v>
      </c>
      <c r="E25" s="123" t="s">
        <v>44</v>
      </c>
      <c r="F25" s="123" t="s">
        <v>364</v>
      </c>
      <c r="G25" s="123">
        <v>2016</v>
      </c>
      <c r="H25" s="123" t="s">
        <v>372</v>
      </c>
      <c r="I25" s="128" t="s">
        <v>384</v>
      </c>
      <c r="J25" s="129">
        <v>529200320</v>
      </c>
      <c r="K25" s="129"/>
      <c r="L25" s="129"/>
      <c r="M25" s="123"/>
    </row>
    <row r="26" spans="1:13" ht="13.8" customHeight="1" x14ac:dyDescent="0.3">
      <c r="A26" s="125">
        <v>25</v>
      </c>
      <c r="B26" s="126">
        <v>39713</v>
      </c>
      <c r="C26" s="126"/>
      <c r="D26" s="127" t="s">
        <v>367</v>
      </c>
      <c r="E26" s="123" t="s">
        <v>44</v>
      </c>
      <c r="F26" s="123" t="s">
        <v>364</v>
      </c>
      <c r="G26" s="123">
        <v>2013</v>
      </c>
      <c r="H26" s="123" t="s">
        <v>372</v>
      </c>
      <c r="I26" s="128" t="s">
        <v>385</v>
      </c>
      <c r="J26" s="129">
        <v>543026013</v>
      </c>
      <c r="K26" s="129"/>
      <c r="L26" s="129"/>
      <c r="M26" s="123"/>
    </row>
    <row r="27" spans="1:13" ht="13.8" customHeight="1" x14ac:dyDescent="0.3">
      <c r="A27" s="123">
        <v>26</v>
      </c>
      <c r="B27" s="126">
        <v>40035</v>
      </c>
      <c r="C27" s="126"/>
      <c r="D27" s="127" t="s">
        <v>367</v>
      </c>
      <c r="E27" s="123" t="s">
        <v>44</v>
      </c>
      <c r="F27" s="123" t="s">
        <v>364</v>
      </c>
      <c r="G27" s="123">
        <v>2012</v>
      </c>
      <c r="H27" s="123" t="s">
        <v>372</v>
      </c>
      <c r="I27" s="128" t="s">
        <v>266</v>
      </c>
      <c r="J27" s="129">
        <v>502747568</v>
      </c>
      <c r="K27" s="129"/>
      <c r="L27" s="129"/>
      <c r="M27" s="123"/>
    </row>
    <row r="28" spans="1:13" ht="13.8" customHeight="1" x14ac:dyDescent="0.3">
      <c r="A28" s="125">
        <v>27</v>
      </c>
      <c r="B28" s="126">
        <v>42669</v>
      </c>
      <c r="C28" s="126"/>
      <c r="D28" s="127" t="s">
        <v>367</v>
      </c>
      <c r="E28" s="123" t="s">
        <v>44</v>
      </c>
      <c r="F28" s="123" t="s">
        <v>364</v>
      </c>
      <c r="G28" s="123">
        <v>2017</v>
      </c>
      <c r="H28" s="123" t="s">
        <v>372</v>
      </c>
      <c r="I28" s="128" t="s">
        <v>386</v>
      </c>
      <c r="J28" s="129">
        <v>503983582</v>
      </c>
      <c r="K28" s="129"/>
      <c r="L28" s="129"/>
      <c r="M28" s="123"/>
    </row>
    <row r="29" spans="1:13" ht="13.8" customHeight="1" x14ac:dyDescent="0.3">
      <c r="A29" s="123">
        <v>28</v>
      </c>
      <c r="B29" s="126">
        <v>44302</v>
      </c>
      <c r="C29" s="126"/>
      <c r="D29" s="127" t="s">
        <v>367</v>
      </c>
      <c r="E29" s="123" t="s">
        <v>76</v>
      </c>
      <c r="F29" s="123">
        <v>4534</v>
      </c>
      <c r="G29" s="123">
        <v>2009</v>
      </c>
      <c r="H29" s="123" t="s">
        <v>299</v>
      </c>
      <c r="I29" s="128" t="s">
        <v>387</v>
      </c>
      <c r="J29" s="129">
        <v>545960049</v>
      </c>
      <c r="K29" s="129"/>
      <c r="L29" s="129"/>
      <c r="M29" s="123"/>
    </row>
    <row r="30" spans="1:13" ht="13.8" customHeight="1" x14ac:dyDescent="0.3">
      <c r="A30" s="125">
        <v>29</v>
      </c>
      <c r="B30" s="126">
        <v>45933</v>
      </c>
      <c r="C30" s="126"/>
      <c r="D30" s="127" t="s">
        <v>179</v>
      </c>
      <c r="E30" s="123" t="s">
        <v>44</v>
      </c>
      <c r="F30" s="123" t="s">
        <v>364</v>
      </c>
      <c r="G30" s="123">
        <v>2009</v>
      </c>
      <c r="H30" s="123" t="s">
        <v>365</v>
      </c>
      <c r="I30" s="128" t="s">
        <v>388</v>
      </c>
      <c r="J30" s="129">
        <v>527893201</v>
      </c>
      <c r="K30" s="129"/>
      <c r="L30" s="129"/>
      <c r="M30" s="123"/>
    </row>
    <row r="31" spans="1:13" ht="13.8" customHeight="1" x14ac:dyDescent="0.3">
      <c r="A31" s="123">
        <v>30</v>
      </c>
      <c r="B31" s="126">
        <v>46348</v>
      </c>
      <c r="C31" s="126"/>
      <c r="D31" s="127" t="s">
        <v>179</v>
      </c>
      <c r="E31" s="123" t="s">
        <v>44</v>
      </c>
      <c r="F31" s="123" t="s">
        <v>371</v>
      </c>
      <c r="G31" s="123">
        <v>2008</v>
      </c>
      <c r="H31" s="123" t="s">
        <v>365</v>
      </c>
      <c r="I31" s="128" t="s">
        <v>389</v>
      </c>
      <c r="J31" s="129">
        <v>509975361</v>
      </c>
      <c r="K31" s="129"/>
      <c r="L31" s="129"/>
      <c r="M31" s="123"/>
    </row>
    <row r="32" spans="1:13" ht="13.8" customHeight="1" x14ac:dyDescent="0.3">
      <c r="A32" s="125">
        <v>31</v>
      </c>
      <c r="B32" s="126">
        <v>46546</v>
      </c>
      <c r="C32" s="126"/>
      <c r="D32" s="127" t="s">
        <v>179</v>
      </c>
      <c r="E32" s="123" t="s">
        <v>76</v>
      </c>
      <c r="F32" s="123" t="s">
        <v>390</v>
      </c>
      <c r="G32" s="123">
        <v>2009</v>
      </c>
      <c r="H32" s="123" t="s">
        <v>365</v>
      </c>
      <c r="I32" s="128" t="s">
        <v>391</v>
      </c>
      <c r="J32" s="129">
        <v>566408262</v>
      </c>
      <c r="K32" s="129"/>
      <c r="L32" s="129"/>
      <c r="M32" s="123"/>
    </row>
    <row r="33" spans="1:13" ht="13.8" customHeight="1" x14ac:dyDescent="0.3">
      <c r="A33" s="123">
        <v>32</v>
      </c>
      <c r="B33" s="126">
        <v>46560</v>
      </c>
      <c r="C33" s="126"/>
      <c r="D33" s="127" t="s">
        <v>179</v>
      </c>
      <c r="E33" s="123" t="s">
        <v>76</v>
      </c>
      <c r="F33" s="123" t="s">
        <v>390</v>
      </c>
      <c r="G33" s="123">
        <v>2008</v>
      </c>
      <c r="H33" s="123" t="s">
        <v>365</v>
      </c>
      <c r="I33" s="128" t="s">
        <v>392</v>
      </c>
      <c r="J33" s="129">
        <v>565345280</v>
      </c>
      <c r="K33" s="129"/>
      <c r="L33" s="129"/>
      <c r="M33" s="123"/>
    </row>
    <row r="34" spans="1:13" ht="13.8" customHeight="1" x14ac:dyDescent="0.3">
      <c r="A34" s="125">
        <v>33</v>
      </c>
      <c r="B34" s="126">
        <v>47062</v>
      </c>
      <c r="C34" s="126"/>
      <c r="D34" s="127" t="s">
        <v>179</v>
      </c>
      <c r="E34" s="123" t="s">
        <v>44</v>
      </c>
      <c r="F34" s="123" t="s">
        <v>393</v>
      </c>
      <c r="G34" s="123">
        <v>2009</v>
      </c>
      <c r="H34" s="123" t="s">
        <v>365</v>
      </c>
      <c r="I34" s="128" t="s">
        <v>293</v>
      </c>
      <c r="J34" s="129">
        <v>542799275</v>
      </c>
      <c r="K34" s="129"/>
      <c r="L34" s="129"/>
      <c r="M34" s="123"/>
    </row>
    <row r="35" spans="1:13" ht="13.8" customHeight="1" x14ac:dyDescent="0.3">
      <c r="A35" s="123">
        <v>34</v>
      </c>
      <c r="B35" s="126">
        <v>48002</v>
      </c>
      <c r="C35" s="126"/>
      <c r="D35" s="127" t="s">
        <v>179</v>
      </c>
      <c r="E35" s="123" t="s">
        <v>44</v>
      </c>
      <c r="F35" s="123" t="s">
        <v>366</v>
      </c>
      <c r="G35" s="123">
        <v>2003</v>
      </c>
      <c r="H35" s="123" t="s">
        <v>365</v>
      </c>
      <c r="I35" s="128" t="s">
        <v>394</v>
      </c>
      <c r="J35" s="129">
        <v>549908893</v>
      </c>
      <c r="K35" s="129"/>
      <c r="L35" s="129"/>
      <c r="M35" s="123"/>
    </row>
    <row r="36" spans="1:13" ht="13.8" customHeight="1" x14ac:dyDescent="0.3">
      <c r="A36" s="125">
        <v>35</v>
      </c>
      <c r="B36" s="126">
        <v>48566</v>
      </c>
      <c r="C36" s="126"/>
      <c r="D36" s="127" t="s">
        <v>367</v>
      </c>
      <c r="E36" s="123" t="s">
        <v>44</v>
      </c>
      <c r="F36" s="123" t="s">
        <v>364</v>
      </c>
      <c r="G36" s="123">
        <v>2017</v>
      </c>
      <c r="H36" s="123" t="s">
        <v>372</v>
      </c>
      <c r="I36" s="128" t="s">
        <v>395</v>
      </c>
      <c r="J36" s="129">
        <v>528697045</v>
      </c>
      <c r="K36" s="129"/>
      <c r="L36" s="129"/>
      <c r="M36" s="123"/>
    </row>
    <row r="37" spans="1:13" ht="13.8" customHeight="1" x14ac:dyDescent="0.3">
      <c r="A37" s="123">
        <v>36</v>
      </c>
      <c r="B37" s="126">
        <v>50125</v>
      </c>
      <c r="C37" s="126"/>
      <c r="D37" s="127" t="s">
        <v>367</v>
      </c>
      <c r="E37" s="123" t="s">
        <v>76</v>
      </c>
      <c r="F37" s="123">
        <v>4534</v>
      </c>
      <c r="G37" s="123">
        <v>2007</v>
      </c>
      <c r="H37" s="123" t="s">
        <v>298</v>
      </c>
      <c r="I37" s="128" t="s">
        <v>396</v>
      </c>
      <c r="J37" s="129">
        <v>588536072</v>
      </c>
      <c r="K37" s="129"/>
      <c r="L37" s="129"/>
      <c r="M37" s="123"/>
    </row>
    <row r="38" spans="1:13" ht="13.8" customHeight="1" x14ac:dyDescent="0.3">
      <c r="A38" s="125">
        <v>37</v>
      </c>
      <c r="B38" s="126">
        <v>50552</v>
      </c>
      <c r="C38" s="126"/>
      <c r="D38" s="127" t="s">
        <v>179</v>
      </c>
      <c r="E38" s="123" t="s">
        <v>44</v>
      </c>
      <c r="F38" s="123" t="s">
        <v>366</v>
      </c>
      <c r="G38" s="123">
        <v>2013</v>
      </c>
      <c r="H38" s="123" t="s">
        <v>365</v>
      </c>
      <c r="I38" s="128" t="s">
        <v>292</v>
      </c>
      <c r="J38" s="129">
        <v>565494021</v>
      </c>
      <c r="K38" s="129"/>
      <c r="L38" s="129"/>
      <c r="M38" s="123"/>
    </row>
    <row r="39" spans="1:13" ht="13.8" customHeight="1" x14ac:dyDescent="0.3">
      <c r="A39" s="123">
        <v>38</v>
      </c>
      <c r="B39" s="126">
        <v>56444</v>
      </c>
      <c r="C39" s="126"/>
      <c r="D39" s="127" t="s">
        <v>367</v>
      </c>
      <c r="E39" s="123" t="s">
        <v>44</v>
      </c>
      <c r="F39" s="123" t="s">
        <v>364</v>
      </c>
      <c r="G39" s="123">
        <v>2006</v>
      </c>
      <c r="H39" s="123" t="s">
        <v>372</v>
      </c>
      <c r="I39" s="128" t="s">
        <v>397</v>
      </c>
      <c r="J39" s="129">
        <v>565492681</v>
      </c>
      <c r="K39" s="129"/>
      <c r="L39" s="129"/>
      <c r="M39" s="123"/>
    </row>
    <row r="40" spans="1:13" ht="13.8" customHeight="1" x14ac:dyDescent="0.3">
      <c r="A40" s="125">
        <v>39</v>
      </c>
      <c r="B40" s="126">
        <v>56966</v>
      </c>
      <c r="C40" s="126"/>
      <c r="D40" s="127" t="s">
        <v>367</v>
      </c>
      <c r="E40" s="123" t="s">
        <v>369</v>
      </c>
      <c r="F40" s="123">
        <v>2038</v>
      </c>
      <c r="G40" s="123">
        <v>1993</v>
      </c>
      <c r="H40" s="123" t="s">
        <v>372</v>
      </c>
      <c r="I40" s="128" t="s">
        <v>398</v>
      </c>
      <c r="J40" s="129">
        <v>522965745</v>
      </c>
      <c r="K40" s="129"/>
      <c r="L40" s="129"/>
      <c r="M40" s="123"/>
    </row>
    <row r="41" spans="1:13" ht="13.8" customHeight="1" x14ac:dyDescent="0.3">
      <c r="A41" s="123">
        <v>40</v>
      </c>
      <c r="B41" s="126">
        <v>57027</v>
      </c>
      <c r="C41" s="126"/>
      <c r="D41" s="127" t="s">
        <v>367</v>
      </c>
      <c r="E41" s="123" t="s">
        <v>44</v>
      </c>
      <c r="F41" s="123" t="s">
        <v>380</v>
      </c>
      <c r="G41" s="123">
        <v>2016</v>
      </c>
      <c r="H41" s="123" t="s">
        <v>372</v>
      </c>
      <c r="I41" s="128" t="s">
        <v>399</v>
      </c>
      <c r="J41" s="129">
        <v>501480317</v>
      </c>
      <c r="K41" s="129"/>
      <c r="L41" s="129"/>
      <c r="M41" s="123"/>
    </row>
    <row r="42" spans="1:13" ht="13.8" customHeight="1" x14ac:dyDescent="0.3">
      <c r="A42" s="125">
        <v>41</v>
      </c>
      <c r="B42" s="126">
        <v>57840</v>
      </c>
      <c r="C42" s="126"/>
      <c r="D42" s="127" t="s">
        <v>367</v>
      </c>
      <c r="E42" s="123" t="s">
        <v>44</v>
      </c>
      <c r="F42" s="123" t="s">
        <v>364</v>
      </c>
      <c r="G42" s="123">
        <v>2011</v>
      </c>
      <c r="H42" s="123" t="s">
        <v>372</v>
      </c>
      <c r="I42" s="128" t="s">
        <v>268</v>
      </c>
      <c r="J42" s="129">
        <v>581256208</v>
      </c>
      <c r="K42" s="129"/>
      <c r="L42" s="129"/>
      <c r="M42" s="123"/>
    </row>
    <row r="43" spans="1:13" ht="13.8" customHeight="1" x14ac:dyDescent="0.3">
      <c r="A43" s="123">
        <v>42</v>
      </c>
      <c r="B43" s="126">
        <v>57913</v>
      </c>
      <c r="C43" s="126"/>
      <c r="D43" s="127" t="s">
        <v>367</v>
      </c>
      <c r="E43" s="123" t="s">
        <v>44</v>
      </c>
      <c r="F43" s="123" t="s">
        <v>364</v>
      </c>
      <c r="G43" s="123">
        <v>2013</v>
      </c>
      <c r="H43" s="123" t="s">
        <v>372</v>
      </c>
      <c r="I43" s="128" t="s">
        <v>400</v>
      </c>
      <c r="J43" s="129">
        <v>502747178</v>
      </c>
      <c r="K43" s="129"/>
      <c r="L43" s="129"/>
      <c r="M43" s="123"/>
    </row>
    <row r="44" spans="1:13" ht="13.8" customHeight="1" x14ac:dyDescent="0.3">
      <c r="A44" s="125">
        <v>43</v>
      </c>
      <c r="B44" s="126">
        <v>58617</v>
      </c>
      <c r="C44" s="126"/>
      <c r="D44" s="127" t="s">
        <v>367</v>
      </c>
      <c r="E44" s="123" t="s">
        <v>44</v>
      </c>
      <c r="F44" s="123" t="s">
        <v>380</v>
      </c>
      <c r="G44" s="123">
        <v>2016</v>
      </c>
      <c r="H44" s="123" t="s">
        <v>372</v>
      </c>
      <c r="I44" s="128" t="s">
        <v>401</v>
      </c>
      <c r="J44" s="129">
        <v>586051181</v>
      </c>
      <c r="K44" s="129"/>
      <c r="L44" s="129"/>
      <c r="M44" s="123"/>
    </row>
    <row r="45" spans="1:13" ht="13.8" customHeight="1" x14ac:dyDescent="0.3">
      <c r="A45" s="123">
        <v>44</v>
      </c>
      <c r="B45" s="126">
        <v>59633</v>
      </c>
      <c r="C45" s="126"/>
      <c r="D45" s="127" t="s">
        <v>367</v>
      </c>
      <c r="E45" s="123" t="s">
        <v>44</v>
      </c>
      <c r="F45" s="123" t="s">
        <v>364</v>
      </c>
      <c r="G45" s="123">
        <v>2017</v>
      </c>
      <c r="H45" s="123" t="s">
        <v>372</v>
      </c>
      <c r="I45" s="128" t="s">
        <v>239</v>
      </c>
      <c r="J45" s="129">
        <v>501479862</v>
      </c>
      <c r="K45" s="129"/>
      <c r="L45" s="129"/>
      <c r="M45" s="123"/>
    </row>
    <row r="46" spans="1:13" ht="13.8" customHeight="1" x14ac:dyDescent="0.3">
      <c r="A46" s="125">
        <v>45</v>
      </c>
      <c r="B46" s="126">
        <v>60834</v>
      </c>
      <c r="C46" s="126"/>
      <c r="D46" s="127" t="s">
        <v>367</v>
      </c>
      <c r="E46" s="123" t="s">
        <v>76</v>
      </c>
      <c r="F46" s="123">
        <v>4534</v>
      </c>
      <c r="G46" s="123">
        <v>2009</v>
      </c>
      <c r="H46" s="123" t="s">
        <v>297</v>
      </c>
      <c r="I46" s="128" t="s">
        <v>402</v>
      </c>
      <c r="J46" s="129">
        <v>508029252</v>
      </c>
      <c r="K46" s="129"/>
      <c r="L46" s="129"/>
      <c r="M46" s="123"/>
    </row>
    <row r="47" spans="1:13" ht="13.8" customHeight="1" x14ac:dyDescent="0.3">
      <c r="A47" s="123">
        <v>46</v>
      </c>
      <c r="B47" s="126">
        <v>63082</v>
      </c>
      <c r="C47" s="126"/>
      <c r="D47" s="127" t="s">
        <v>179</v>
      </c>
      <c r="E47" s="123" t="s">
        <v>44</v>
      </c>
      <c r="F47" s="123" t="s">
        <v>366</v>
      </c>
      <c r="G47" s="123">
        <v>2008</v>
      </c>
      <c r="H47" s="123" t="s">
        <v>365</v>
      </c>
      <c r="I47" s="128" t="s">
        <v>403</v>
      </c>
      <c r="J47" s="129">
        <v>529200828</v>
      </c>
      <c r="K47" s="129"/>
      <c r="L47" s="129"/>
      <c r="M47" s="123"/>
    </row>
    <row r="48" spans="1:13" ht="13.8" customHeight="1" x14ac:dyDescent="0.3">
      <c r="A48" s="125">
        <v>47</v>
      </c>
      <c r="B48" s="126">
        <v>67399</v>
      </c>
      <c r="C48" s="126"/>
      <c r="D48" s="127" t="s">
        <v>367</v>
      </c>
      <c r="E48" s="123" t="s">
        <v>44</v>
      </c>
      <c r="F48" s="123" t="s">
        <v>380</v>
      </c>
      <c r="G48" s="123">
        <v>2012</v>
      </c>
      <c r="H48" s="123" t="s">
        <v>372</v>
      </c>
      <c r="I48" s="128" t="s">
        <v>404</v>
      </c>
      <c r="J48" s="129">
        <v>558611037</v>
      </c>
      <c r="K48" s="129"/>
      <c r="L48" s="129"/>
      <c r="M48" s="123"/>
    </row>
    <row r="49" spans="1:13" ht="13.8" customHeight="1" x14ac:dyDescent="0.3">
      <c r="A49" s="123">
        <v>48</v>
      </c>
      <c r="B49" s="126">
        <v>67926</v>
      </c>
      <c r="C49" s="126"/>
      <c r="D49" s="127" t="s">
        <v>367</v>
      </c>
      <c r="E49" s="123" t="s">
        <v>44</v>
      </c>
      <c r="F49" s="123" t="s">
        <v>371</v>
      </c>
      <c r="G49" s="123">
        <v>2005</v>
      </c>
      <c r="H49" s="123" t="s">
        <v>372</v>
      </c>
      <c r="I49" s="138" t="s">
        <v>405</v>
      </c>
      <c r="J49" s="129">
        <v>525137318</v>
      </c>
      <c r="K49" s="129"/>
      <c r="L49" s="129"/>
      <c r="M49" s="123"/>
    </row>
    <row r="50" spans="1:13" ht="13.8" customHeight="1" x14ac:dyDescent="0.3">
      <c r="A50" s="125">
        <v>49</v>
      </c>
      <c r="B50" s="126">
        <v>68089</v>
      </c>
      <c r="C50" s="126"/>
      <c r="D50" s="127" t="s">
        <v>367</v>
      </c>
      <c r="E50" s="123" t="s">
        <v>76</v>
      </c>
      <c r="F50" s="123">
        <v>4534</v>
      </c>
      <c r="G50" s="123">
        <v>2009</v>
      </c>
      <c r="H50" s="123" t="s">
        <v>299</v>
      </c>
      <c r="I50" s="138"/>
      <c r="J50" s="137"/>
      <c r="K50" s="137"/>
      <c r="L50" s="137"/>
      <c r="M50" s="123"/>
    </row>
    <row r="51" spans="1:13" ht="13.8" customHeight="1" x14ac:dyDescent="0.3">
      <c r="A51" s="123">
        <v>50</v>
      </c>
      <c r="B51" s="126">
        <v>69425</v>
      </c>
      <c r="C51" s="126"/>
      <c r="D51" s="127" t="s">
        <v>367</v>
      </c>
      <c r="E51" s="123" t="s">
        <v>44</v>
      </c>
      <c r="F51" s="123" t="s">
        <v>366</v>
      </c>
      <c r="G51" s="123">
        <v>2003</v>
      </c>
      <c r="H51" s="123" t="s">
        <v>299</v>
      </c>
      <c r="I51" s="138" t="s">
        <v>406</v>
      </c>
      <c r="J51" s="129">
        <v>529200802</v>
      </c>
      <c r="K51" s="129"/>
      <c r="L51" s="129"/>
      <c r="M51" s="123"/>
    </row>
    <row r="52" spans="1:13" ht="13.8" customHeight="1" x14ac:dyDescent="0.3">
      <c r="A52" s="125">
        <v>51</v>
      </c>
      <c r="B52" s="126">
        <v>69438</v>
      </c>
      <c r="C52" s="126"/>
      <c r="D52" s="127" t="s">
        <v>367</v>
      </c>
      <c r="E52" s="123" t="s">
        <v>44</v>
      </c>
      <c r="F52" s="123" t="s">
        <v>366</v>
      </c>
      <c r="G52" s="123">
        <v>2005</v>
      </c>
      <c r="H52" s="123" t="s">
        <v>299</v>
      </c>
      <c r="I52" s="138" t="s">
        <v>407</v>
      </c>
      <c r="J52" s="129">
        <v>554026550</v>
      </c>
      <c r="K52" s="129"/>
      <c r="L52" s="129"/>
      <c r="M52" s="123"/>
    </row>
    <row r="53" spans="1:13" ht="13.8" customHeight="1" x14ac:dyDescent="0.3">
      <c r="A53" s="123">
        <v>52</v>
      </c>
      <c r="B53" s="126">
        <v>75268</v>
      </c>
      <c r="C53" s="126"/>
      <c r="D53" s="127" t="s">
        <v>367</v>
      </c>
      <c r="E53" s="123" t="s">
        <v>76</v>
      </c>
      <c r="F53" s="123">
        <v>3534</v>
      </c>
      <c r="G53" s="123">
        <v>2008</v>
      </c>
      <c r="H53" s="123" t="s">
        <v>372</v>
      </c>
      <c r="I53" s="138" t="s">
        <v>408</v>
      </c>
      <c r="J53" s="129">
        <v>507856502</v>
      </c>
      <c r="K53" s="129"/>
      <c r="L53" s="129"/>
      <c r="M53" s="123"/>
    </row>
    <row r="54" spans="1:13" ht="13.8" customHeight="1" x14ac:dyDescent="0.3">
      <c r="A54" s="125">
        <v>53</v>
      </c>
      <c r="B54" s="126">
        <v>75356</v>
      </c>
      <c r="C54" s="126"/>
      <c r="D54" s="127" t="s">
        <v>367</v>
      </c>
      <c r="E54" s="123" t="s">
        <v>76</v>
      </c>
      <c r="F54" s="123">
        <v>4534</v>
      </c>
      <c r="G54" s="123">
        <v>2008</v>
      </c>
      <c r="H54" s="123" t="s">
        <v>372</v>
      </c>
      <c r="I54" s="138" t="s">
        <v>269</v>
      </c>
      <c r="J54" s="129">
        <v>525629202</v>
      </c>
      <c r="K54" s="129"/>
      <c r="L54" s="129"/>
      <c r="M54" s="123"/>
    </row>
    <row r="55" spans="1:13" ht="13.8" customHeight="1" x14ac:dyDescent="0.3">
      <c r="A55" s="123">
        <v>54</v>
      </c>
      <c r="B55" s="126">
        <v>78948</v>
      </c>
      <c r="C55" s="126"/>
      <c r="D55" s="127" t="s">
        <v>367</v>
      </c>
      <c r="E55" s="123" t="s">
        <v>44</v>
      </c>
      <c r="F55" s="123" t="s">
        <v>366</v>
      </c>
      <c r="G55" s="123">
        <v>2005</v>
      </c>
      <c r="H55" s="123" t="s">
        <v>372</v>
      </c>
      <c r="I55" s="138" t="s">
        <v>236</v>
      </c>
      <c r="J55" s="129">
        <v>558228141</v>
      </c>
      <c r="K55" s="129"/>
      <c r="L55" s="129"/>
      <c r="M55" s="123"/>
    </row>
    <row r="56" spans="1:13" ht="13.8" customHeight="1" x14ac:dyDescent="0.3">
      <c r="A56" s="125">
        <v>55</v>
      </c>
      <c r="B56" s="126">
        <v>80959</v>
      </c>
      <c r="C56" s="126"/>
      <c r="D56" s="127" t="s">
        <v>367</v>
      </c>
      <c r="E56" s="123" t="s">
        <v>76</v>
      </c>
      <c r="F56" s="123" t="s">
        <v>390</v>
      </c>
      <c r="G56" s="123">
        <v>2009</v>
      </c>
      <c r="H56" s="123" t="s">
        <v>409</v>
      </c>
      <c r="I56" s="138" t="s">
        <v>282</v>
      </c>
      <c r="J56" s="129">
        <v>501479332</v>
      </c>
      <c r="K56" s="129"/>
      <c r="L56" s="129"/>
      <c r="M56" s="123"/>
    </row>
    <row r="57" spans="1:13" ht="13.8" customHeight="1" x14ac:dyDescent="0.3">
      <c r="A57" s="123">
        <v>56</v>
      </c>
      <c r="B57" s="126">
        <v>85602</v>
      </c>
      <c r="C57" s="126"/>
      <c r="D57" s="127" t="s">
        <v>367</v>
      </c>
      <c r="E57" s="123" t="s">
        <v>44</v>
      </c>
      <c r="F57" s="123" t="s">
        <v>364</v>
      </c>
      <c r="G57" s="123">
        <v>2008</v>
      </c>
      <c r="H57" s="123" t="s">
        <v>372</v>
      </c>
      <c r="I57" s="138" t="s">
        <v>410</v>
      </c>
      <c r="J57" s="129">
        <v>565452910</v>
      </c>
      <c r="K57" s="129"/>
      <c r="L57" s="129"/>
      <c r="M57" s="123"/>
    </row>
    <row r="58" spans="1:13" ht="13.8" customHeight="1" x14ac:dyDescent="0.3">
      <c r="A58" s="125">
        <v>57</v>
      </c>
      <c r="B58" s="126">
        <v>86665</v>
      </c>
      <c r="C58" s="126"/>
      <c r="D58" s="127" t="s">
        <v>367</v>
      </c>
      <c r="E58" s="123" t="s">
        <v>44</v>
      </c>
      <c r="F58" s="123" t="s">
        <v>366</v>
      </c>
      <c r="G58" s="123">
        <v>2000</v>
      </c>
      <c r="H58" s="123" t="s">
        <v>372</v>
      </c>
      <c r="I58" s="138" t="s">
        <v>288</v>
      </c>
      <c r="J58" s="129">
        <v>529200323</v>
      </c>
      <c r="K58" s="129"/>
      <c r="L58" s="129"/>
      <c r="M58" s="123"/>
    </row>
    <row r="59" spans="1:13" ht="13.8" customHeight="1" x14ac:dyDescent="0.3">
      <c r="A59" s="123">
        <v>58</v>
      </c>
      <c r="B59" s="126">
        <v>91633</v>
      </c>
      <c r="C59" s="126"/>
      <c r="D59" s="127" t="s">
        <v>367</v>
      </c>
      <c r="E59" s="123" t="s">
        <v>44</v>
      </c>
      <c r="F59" s="123" t="s">
        <v>366</v>
      </c>
      <c r="G59" s="123">
        <v>2000</v>
      </c>
      <c r="H59" s="123" t="s">
        <v>298</v>
      </c>
      <c r="I59" s="138" t="s">
        <v>290</v>
      </c>
      <c r="J59" s="129">
        <v>559054574</v>
      </c>
      <c r="K59" s="129"/>
      <c r="L59" s="129"/>
      <c r="M59" s="123"/>
    </row>
    <row r="60" spans="1:13" ht="13.8" customHeight="1" x14ac:dyDescent="0.3">
      <c r="A60" s="125">
        <v>59</v>
      </c>
      <c r="B60" s="126">
        <v>22607</v>
      </c>
      <c r="C60" s="126"/>
      <c r="D60" s="127" t="s">
        <v>367</v>
      </c>
      <c r="E60" s="123" t="s">
        <v>44</v>
      </c>
      <c r="F60" s="123" t="s">
        <v>364</v>
      </c>
      <c r="G60" s="123">
        <v>2011</v>
      </c>
      <c r="H60" s="123" t="s">
        <v>372</v>
      </c>
      <c r="I60" s="138" t="s">
        <v>270</v>
      </c>
      <c r="J60" s="129">
        <v>503989520</v>
      </c>
      <c r="K60" s="129"/>
      <c r="L60" s="129"/>
      <c r="M60" s="123"/>
    </row>
    <row r="61" spans="1:13" ht="13.8" customHeight="1" x14ac:dyDescent="0.3">
      <c r="A61" s="123">
        <v>60</v>
      </c>
      <c r="B61" s="126">
        <v>44752</v>
      </c>
      <c r="C61" s="126"/>
      <c r="D61" s="127" t="s">
        <v>179</v>
      </c>
      <c r="E61" s="123" t="s">
        <v>44</v>
      </c>
      <c r="F61" s="123" t="s">
        <v>366</v>
      </c>
      <c r="G61" s="123">
        <v>1998</v>
      </c>
      <c r="H61" s="123" t="s">
        <v>365</v>
      </c>
      <c r="I61" s="138" t="s">
        <v>411</v>
      </c>
      <c r="J61" s="129">
        <v>526447491</v>
      </c>
      <c r="K61" s="129"/>
      <c r="L61" s="129"/>
      <c r="M61" s="123"/>
    </row>
    <row r="62" spans="1:13" ht="13.8" customHeight="1" x14ac:dyDescent="0.3">
      <c r="A62" s="125">
        <v>61</v>
      </c>
      <c r="B62" s="126">
        <v>40110</v>
      </c>
      <c r="C62" s="126"/>
      <c r="D62" s="127" t="s">
        <v>179</v>
      </c>
      <c r="E62" s="123" t="s">
        <v>44</v>
      </c>
      <c r="F62" s="123" t="s">
        <v>364</v>
      </c>
      <c r="G62" s="123">
        <v>2013</v>
      </c>
      <c r="H62" s="123" t="s">
        <v>365</v>
      </c>
      <c r="I62" s="138" t="s">
        <v>412</v>
      </c>
      <c r="J62" s="129">
        <v>509029716</v>
      </c>
      <c r="K62" s="129"/>
      <c r="L62" s="129"/>
      <c r="M62" s="123"/>
    </row>
    <row r="63" spans="1:13" ht="13.8" customHeight="1" x14ac:dyDescent="0.3">
      <c r="A63" s="123">
        <v>62</v>
      </c>
      <c r="B63" s="126">
        <v>17680</v>
      </c>
      <c r="C63" s="126"/>
      <c r="D63" s="127" t="s">
        <v>367</v>
      </c>
      <c r="E63" s="123" t="s">
        <v>44</v>
      </c>
      <c r="F63" s="123" t="s">
        <v>364</v>
      </c>
      <c r="G63" s="123">
        <v>2013</v>
      </c>
      <c r="H63" s="123" t="s">
        <v>372</v>
      </c>
      <c r="I63" s="138" t="s">
        <v>244</v>
      </c>
      <c r="J63" s="129">
        <v>556431790</v>
      </c>
      <c r="K63" s="129"/>
      <c r="L63" s="129"/>
      <c r="M63" s="123"/>
    </row>
    <row r="64" spans="1:13" ht="13.8" customHeight="1" x14ac:dyDescent="0.3">
      <c r="A64" s="125">
        <v>63</v>
      </c>
      <c r="B64" s="126">
        <v>17682</v>
      </c>
      <c r="C64" s="126"/>
      <c r="D64" s="127" t="s">
        <v>367</v>
      </c>
      <c r="E64" s="123" t="s">
        <v>44</v>
      </c>
      <c r="F64" s="123" t="s">
        <v>364</v>
      </c>
      <c r="G64" s="123">
        <v>2013</v>
      </c>
      <c r="H64" s="123" t="s">
        <v>372</v>
      </c>
      <c r="I64" s="138" t="s">
        <v>254</v>
      </c>
      <c r="J64" s="129">
        <v>565452906</v>
      </c>
      <c r="K64" s="129"/>
      <c r="L64" s="129"/>
      <c r="M64" s="123"/>
    </row>
    <row r="65" spans="1:13" ht="13.8" customHeight="1" x14ac:dyDescent="0.3">
      <c r="A65" s="123">
        <v>64</v>
      </c>
      <c r="B65" s="126">
        <v>19181</v>
      </c>
      <c r="C65" s="126"/>
      <c r="D65" s="127" t="s">
        <v>367</v>
      </c>
      <c r="E65" s="123" t="s">
        <v>44</v>
      </c>
      <c r="F65" s="123" t="s">
        <v>364</v>
      </c>
      <c r="G65" s="123">
        <v>2007</v>
      </c>
      <c r="H65" s="123" t="s">
        <v>372</v>
      </c>
      <c r="I65" s="74" t="s">
        <v>413</v>
      </c>
      <c r="J65" s="129">
        <v>565495571</v>
      </c>
      <c r="K65" s="129"/>
      <c r="L65" s="129"/>
      <c r="M65" s="20"/>
    </row>
    <row r="66" spans="1:13" ht="13.8" customHeight="1" x14ac:dyDescent="0.3">
      <c r="A66" s="125">
        <v>65</v>
      </c>
      <c r="B66" s="139">
        <v>19185</v>
      </c>
      <c r="C66" s="139"/>
      <c r="D66" s="140" t="s">
        <v>367</v>
      </c>
      <c r="E66" s="125" t="s">
        <v>44</v>
      </c>
      <c r="F66" s="125" t="s">
        <v>364</v>
      </c>
      <c r="G66" s="125">
        <v>2013</v>
      </c>
      <c r="H66" s="125" t="s">
        <v>372</v>
      </c>
      <c r="I66" s="141" t="s">
        <v>243</v>
      </c>
      <c r="J66" s="129">
        <v>547382934</v>
      </c>
      <c r="K66" s="129"/>
      <c r="L66" s="129"/>
      <c r="M66" s="20"/>
    </row>
    <row r="67" spans="1:13" ht="13.8" customHeight="1" x14ac:dyDescent="0.3">
      <c r="A67" s="123">
        <v>66</v>
      </c>
      <c r="B67" s="126">
        <v>16309</v>
      </c>
      <c r="C67" s="126"/>
      <c r="D67" s="127" t="s">
        <v>367</v>
      </c>
      <c r="E67" s="123" t="s">
        <v>44</v>
      </c>
      <c r="F67" s="123" t="s">
        <v>364</v>
      </c>
      <c r="G67" s="123">
        <v>2013</v>
      </c>
      <c r="H67" s="123" t="s">
        <v>372</v>
      </c>
      <c r="I67" s="138" t="s">
        <v>373</v>
      </c>
      <c r="J67" s="129">
        <v>506521883</v>
      </c>
      <c r="K67" s="129"/>
      <c r="L67" s="129"/>
      <c r="M67" s="20"/>
    </row>
    <row r="68" spans="1:13" ht="13.8" customHeight="1" x14ac:dyDescent="0.3">
      <c r="A68" s="125">
        <v>67</v>
      </c>
      <c r="B68" s="139">
        <v>16310</v>
      </c>
      <c r="C68" s="139"/>
      <c r="D68" s="140" t="s">
        <v>367</v>
      </c>
      <c r="E68" s="125" t="s">
        <v>44</v>
      </c>
      <c r="F68" s="125" t="s">
        <v>364</v>
      </c>
      <c r="G68" s="125">
        <v>2013</v>
      </c>
      <c r="H68" s="125" t="s">
        <v>372</v>
      </c>
      <c r="I68" s="141" t="s">
        <v>374</v>
      </c>
      <c r="J68" s="129">
        <v>504935043</v>
      </c>
      <c r="K68" s="129"/>
      <c r="L68" s="129"/>
      <c r="M68" s="20"/>
    </row>
    <row r="69" spans="1:13" ht="13.8" customHeight="1" x14ac:dyDescent="0.3">
      <c r="A69" s="142">
        <v>68</v>
      </c>
      <c r="B69" s="143">
        <v>27189</v>
      </c>
      <c r="C69" s="143"/>
      <c r="D69" s="143" t="s">
        <v>367</v>
      </c>
      <c r="E69" s="142" t="s">
        <v>44</v>
      </c>
      <c r="F69" s="142" t="s">
        <v>364</v>
      </c>
      <c r="G69" s="142">
        <v>2007</v>
      </c>
      <c r="H69" s="142" t="s">
        <v>414</v>
      </c>
      <c r="I69" s="144" t="s">
        <v>415</v>
      </c>
      <c r="J69" s="145">
        <v>565492921</v>
      </c>
      <c r="K69" s="145"/>
      <c r="L69" s="145"/>
      <c r="M69" s="146"/>
    </row>
    <row r="70" spans="1:13" ht="13.8" customHeight="1" x14ac:dyDescent="0.3">
      <c r="A70" s="147">
        <v>69</v>
      </c>
      <c r="B70" s="148">
        <v>56951</v>
      </c>
      <c r="C70" s="148"/>
      <c r="D70" s="148" t="s">
        <v>367</v>
      </c>
      <c r="E70" s="147" t="s">
        <v>44</v>
      </c>
      <c r="F70" s="147" t="s">
        <v>364</v>
      </c>
      <c r="G70" s="147">
        <v>2014</v>
      </c>
      <c r="H70" s="147" t="s">
        <v>414</v>
      </c>
      <c r="I70" s="182"/>
      <c r="J70" s="145"/>
      <c r="K70" s="145"/>
      <c r="L70" s="145"/>
      <c r="M70" s="182"/>
    </row>
    <row r="71" spans="1:13" ht="13.8" customHeight="1" x14ac:dyDescent="0.3">
      <c r="A71" s="142">
        <v>70</v>
      </c>
      <c r="B71" s="143">
        <v>61405</v>
      </c>
      <c r="C71" s="143"/>
      <c r="D71" s="143" t="s">
        <v>367</v>
      </c>
      <c r="E71" s="142" t="s">
        <v>44</v>
      </c>
      <c r="F71" s="142" t="s">
        <v>364</v>
      </c>
      <c r="G71" s="142">
        <v>2015</v>
      </c>
      <c r="H71" s="142" t="s">
        <v>414</v>
      </c>
      <c r="I71" s="182" t="s">
        <v>233</v>
      </c>
      <c r="J71" s="145">
        <v>527653832</v>
      </c>
      <c r="K71" s="145"/>
      <c r="L71" s="145"/>
      <c r="M71" s="182"/>
    </row>
    <row r="72" spans="1:13" ht="13.8" customHeight="1" x14ac:dyDescent="0.3">
      <c r="A72" s="147">
        <v>71</v>
      </c>
      <c r="B72" s="148">
        <v>61741</v>
      </c>
      <c r="C72" s="148"/>
      <c r="D72" s="148" t="s">
        <v>367</v>
      </c>
      <c r="E72" s="147" t="s">
        <v>44</v>
      </c>
      <c r="F72" s="147" t="s">
        <v>364</v>
      </c>
      <c r="G72" s="147">
        <v>2007</v>
      </c>
      <c r="H72" s="147" t="s">
        <v>414</v>
      </c>
      <c r="I72" s="182"/>
      <c r="J72" s="145"/>
      <c r="K72" s="145"/>
      <c r="L72" s="145"/>
      <c r="M72" s="182"/>
    </row>
    <row r="73" spans="1:13" ht="13.8" customHeight="1" x14ac:dyDescent="0.3">
      <c r="A73" s="142">
        <v>72</v>
      </c>
      <c r="B73" s="181">
        <v>56951</v>
      </c>
      <c r="C73" s="181"/>
      <c r="D73" s="181" t="s">
        <v>367</v>
      </c>
      <c r="E73" s="134" t="s">
        <v>44</v>
      </c>
      <c r="F73" s="134" t="s">
        <v>364</v>
      </c>
      <c r="G73" s="134">
        <v>2007</v>
      </c>
      <c r="H73" s="134" t="s">
        <v>414</v>
      </c>
      <c r="I73" s="183"/>
      <c r="J73" s="145"/>
      <c r="K73" s="145"/>
      <c r="L73" s="145"/>
      <c r="M73" s="182" t="s">
        <v>468</v>
      </c>
    </row>
    <row r="74" spans="1:13" ht="13.8" customHeight="1" x14ac:dyDescent="0.3">
      <c r="A74" s="142">
        <v>73</v>
      </c>
      <c r="B74" s="143">
        <v>20724</v>
      </c>
      <c r="C74" s="143"/>
      <c r="D74" s="143" t="s">
        <v>367</v>
      </c>
      <c r="E74" s="142" t="s">
        <v>44</v>
      </c>
      <c r="F74" s="142" t="s">
        <v>364</v>
      </c>
      <c r="G74" s="142">
        <v>2007</v>
      </c>
      <c r="H74" s="142" t="s">
        <v>414</v>
      </c>
      <c r="I74" s="182"/>
      <c r="J74" s="145"/>
      <c r="K74" s="145"/>
      <c r="L74" s="145"/>
      <c r="M74" s="182"/>
    </row>
    <row r="75" spans="1:13" ht="13.8" customHeight="1" x14ac:dyDescent="0.3">
      <c r="A75" s="24">
        <v>74</v>
      </c>
      <c r="B75" s="24"/>
      <c r="C75" s="24"/>
      <c r="D75" s="24"/>
      <c r="E75" s="24" t="s">
        <v>44</v>
      </c>
      <c r="F75" s="24" t="s">
        <v>364</v>
      </c>
      <c r="G75" s="24"/>
      <c r="H75" s="24" t="s">
        <v>414</v>
      </c>
      <c r="I75" s="149" t="s">
        <v>235</v>
      </c>
      <c r="J75" s="150">
        <v>526447489</v>
      </c>
      <c r="K75" s="150"/>
      <c r="L75" s="150"/>
      <c r="M75" s="120" t="s">
        <v>470</v>
      </c>
    </row>
    <row r="76" spans="1:13" ht="13.8" customHeight="1" x14ac:dyDescent="0.3">
      <c r="A76" s="24">
        <v>75</v>
      </c>
      <c r="C76" s="24"/>
      <c r="D76" s="24"/>
      <c r="E76" s="24" t="s">
        <v>44</v>
      </c>
      <c r="F76" s="24" t="s">
        <v>364</v>
      </c>
      <c r="G76" s="24"/>
      <c r="H76" s="24" t="s">
        <v>414</v>
      </c>
      <c r="I76" s="152" t="s">
        <v>416</v>
      </c>
      <c r="J76" s="153">
        <v>529200850</v>
      </c>
      <c r="K76" s="153"/>
      <c r="L76" s="153"/>
      <c r="M76" s="120" t="s">
        <v>470</v>
      </c>
    </row>
    <row r="77" spans="1:13" ht="13.8" customHeight="1" x14ac:dyDescent="0.3">
      <c r="A77" s="24">
        <v>76</v>
      </c>
      <c r="B77" s="24"/>
      <c r="C77" s="24"/>
      <c r="D77" s="24"/>
      <c r="E77" s="24" t="s">
        <v>44</v>
      </c>
      <c r="F77" s="24" t="s">
        <v>364</v>
      </c>
      <c r="G77" s="24"/>
      <c r="H77" s="24" t="s">
        <v>469</v>
      </c>
      <c r="I77" s="149" t="s">
        <v>413</v>
      </c>
      <c r="J77" s="153">
        <v>562177816</v>
      </c>
      <c r="K77" s="153"/>
      <c r="L77" s="153"/>
      <c r="M77" s="120" t="s">
        <v>470</v>
      </c>
    </row>
    <row r="78" spans="1:13" ht="13.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</sheetData>
  <pageMargins left="0.70866141732283472" right="0.70866141732283472" top="0" bottom="0" header="0.31496062992125984" footer="0.31496062992125984"/>
  <pageSetup paperSize="9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opLeftCell="A36" workbookViewId="0">
      <selection activeCell="C2" sqref="C2:C67"/>
    </sheetView>
  </sheetViews>
  <sheetFormatPr defaultRowHeight="14.4" x14ac:dyDescent="0.3"/>
  <cols>
    <col min="3" max="3" width="20.33203125" customWidth="1"/>
  </cols>
  <sheetData>
    <row r="1" spans="1:3" ht="24.6" thickBot="1" x14ac:dyDescent="0.35">
      <c r="A1" s="44" t="s">
        <v>227</v>
      </c>
      <c r="B1" s="45" t="s">
        <v>228</v>
      </c>
      <c r="C1" s="46" t="s">
        <v>229</v>
      </c>
    </row>
    <row r="2" spans="1:3" x14ac:dyDescent="0.3">
      <c r="A2" s="47">
        <v>1</v>
      </c>
      <c r="B2" s="48">
        <v>2001</v>
      </c>
      <c r="C2" s="49" t="s">
        <v>230</v>
      </c>
    </row>
    <row r="3" spans="1:3" x14ac:dyDescent="0.3">
      <c r="A3" s="50">
        <v>2</v>
      </c>
      <c r="B3" s="51">
        <v>2005</v>
      </c>
      <c r="C3" s="52" t="s">
        <v>231</v>
      </c>
    </row>
    <row r="4" spans="1:3" x14ac:dyDescent="0.3">
      <c r="A4" s="50">
        <v>3</v>
      </c>
      <c r="B4" s="53">
        <v>2010</v>
      </c>
      <c r="C4" s="54" t="s">
        <v>232</v>
      </c>
    </row>
    <row r="5" spans="1:3" x14ac:dyDescent="0.3">
      <c r="A5" s="50">
        <v>4</v>
      </c>
      <c r="B5" s="51">
        <v>2014</v>
      </c>
      <c r="C5" s="54" t="s">
        <v>233</v>
      </c>
    </row>
    <row r="6" spans="1:3" x14ac:dyDescent="0.3">
      <c r="A6" s="50">
        <v>5</v>
      </c>
      <c r="B6" s="51">
        <v>2015</v>
      </c>
      <c r="C6" s="54" t="s">
        <v>234</v>
      </c>
    </row>
    <row r="7" spans="1:3" x14ac:dyDescent="0.3">
      <c r="A7" s="50">
        <v>6</v>
      </c>
      <c r="B7" s="51">
        <v>2019</v>
      </c>
      <c r="C7" s="54" t="s">
        <v>235</v>
      </c>
    </row>
    <row r="8" spans="1:3" x14ac:dyDescent="0.3">
      <c r="A8" s="50">
        <v>7</v>
      </c>
      <c r="B8" s="51">
        <v>2020</v>
      </c>
      <c r="C8" s="54" t="s">
        <v>236</v>
      </c>
    </row>
    <row r="9" spans="1:3" x14ac:dyDescent="0.3">
      <c r="A9" s="50">
        <v>8</v>
      </c>
      <c r="B9" s="51">
        <v>2021</v>
      </c>
      <c r="C9" s="54" t="s">
        <v>237</v>
      </c>
    </row>
    <row r="10" spans="1:3" x14ac:dyDescent="0.3">
      <c r="A10" s="50">
        <v>9</v>
      </c>
      <c r="B10" s="51">
        <v>2023</v>
      </c>
      <c r="C10" s="54" t="s">
        <v>238</v>
      </c>
    </row>
    <row r="11" spans="1:3" x14ac:dyDescent="0.3">
      <c r="A11" s="55">
        <v>10</v>
      </c>
      <c r="B11" s="56">
        <v>2025</v>
      </c>
      <c r="C11" s="57" t="s">
        <v>239</v>
      </c>
    </row>
    <row r="12" spans="1:3" x14ac:dyDescent="0.3">
      <c r="A12" s="50">
        <v>11</v>
      </c>
      <c r="B12" s="51">
        <v>2028</v>
      </c>
      <c r="C12" s="52" t="s">
        <v>240</v>
      </c>
    </row>
    <row r="13" spans="1:3" x14ac:dyDescent="0.3">
      <c r="A13" s="50">
        <v>12</v>
      </c>
      <c r="B13" s="51">
        <v>2030</v>
      </c>
      <c r="C13" s="52" t="s">
        <v>241</v>
      </c>
    </row>
    <row r="14" spans="1:3" x14ac:dyDescent="0.3">
      <c r="A14" s="50">
        <v>13</v>
      </c>
      <c r="B14" s="51">
        <v>2032</v>
      </c>
      <c r="C14" s="52" t="s">
        <v>242</v>
      </c>
    </row>
    <row r="15" spans="1:3" x14ac:dyDescent="0.3">
      <c r="A15" s="50">
        <v>14</v>
      </c>
      <c r="B15" s="51">
        <v>2033</v>
      </c>
      <c r="C15" s="52" t="s">
        <v>243</v>
      </c>
    </row>
    <row r="16" spans="1:3" x14ac:dyDescent="0.3">
      <c r="A16" s="50">
        <v>15</v>
      </c>
      <c r="B16" s="51">
        <v>2034</v>
      </c>
      <c r="C16" s="58" t="s">
        <v>244</v>
      </c>
    </row>
    <row r="17" spans="1:3" x14ac:dyDescent="0.3">
      <c r="A17" s="50">
        <v>16</v>
      </c>
      <c r="B17" s="51">
        <v>2035</v>
      </c>
      <c r="C17" s="58" t="s">
        <v>245</v>
      </c>
    </row>
    <row r="18" spans="1:3" x14ac:dyDescent="0.3">
      <c r="A18" s="50">
        <v>17</v>
      </c>
      <c r="B18" s="51">
        <v>2036</v>
      </c>
      <c r="C18" s="52" t="s">
        <v>246</v>
      </c>
    </row>
    <row r="19" spans="1:3" x14ac:dyDescent="0.3">
      <c r="A19" s="50">
        <v>18</v>
      </c>
      <c r="B19" s="51">
        <v>2038</v>
      </c>
      <c r="C19" s="52" t="s">
        <v>247</v>
      </c>
    </row>
    <row r="20" spans="1:3" x14ac:dyDescent="0.3">
      <c r="A20" s="59">
        <v>19</v>
      </c>
      <c r="B20" s="60">
        <v>2041</v>
      </c>
      <c r="C20" s="61" t="s">
        <v>248</v>
      </c>
    </row>
    <row r="21" spans="1:3" x14ac:dyDescent="0.3">
      <c r="A21" s="50">
        <v>20</v>
      </c>
      <c r="B21" s="51">
        <v>2042</v>
      </c>
      <c r="C21" s="58" t="s">
        <v>249</v>
      </c>
    </row>
    <row r="22" spans="1:3" x14ac:dyDescent="0.3">
      <c r="A22" s="50">
        <v>21</v>
      </c>
      <c r="B22" s="51">
        <v>2045</v>
      </c>
      <c r="C22" s="58" t="s">
        <v>250</v>
      </c>
    </row>
    <row r="23" spans="1:3" x14ac:dyDescent="0.3">
      <c r="A23" s="50">
        <v>22</v>
      </c>
      <c r="B23" s="51">
        <v>2046</v>
      </c>
      <c r="C23" s="58" t="s">
        <v>251</v>
      </c>
    </row>
    <row r="24" spans="1:3" x14ac:dyDescent="0.3">
      <c r="A24" s="50">
        <v>23</v>
      </c>
      <c r="B24" s="51">
        <v>2047</v>
      </c>
      <c r="C24" s="58" t="s">
        <v>252</v>
      </c>
    </row>
    <row r="25" spans="1:3" x14ac:dyDescent="0.3">
      <c r="A25" s="50">
        <v>24</v>
      </c>
      <c r="B25" s="51">
        <v>2048</v>
      </c>
      <c r="C25" s="58" t="s">
        <v>253</v>
      </c>
    </row>
    <row r="26" spans="1:3" x14ac:dyDescent="0.3">
      <c r="A26" s="50">
        <v>25</v>
      </c>
      <c r="B26" s="51">
        <v>2050</v>
      </c>
      <c r="C26" s="58" t="s">
        <v>254</v>
      </c>
    </row>
    <row r="27" spans="1:3" x14ac:dyDescent="0.3">
      <c r="A27" s="50">
        <v>26</v>
      </c>
      <c r="B27" s="51">
        <v>2051</v>
      </c>
      <c r="C27" s="52" t="s">
        <v>255</v>
      </c>
    </row>
    <row r="28" spans="1:3" x14ac:dyDescent="0.3">
      <c r="A28" s="50">
        <v>27</v>
      </c>
      <c r="B28" s="51">
        <v>2052</v>
      </c>
      <c r="C28" s="52" t="s">
        <v>256</v>
      </c>
    </row>
    <row r="29" spans="1:3" x14ac:dyDescent="0.3">
      <c r="A29" s="50">
        <v>28</v>
      </c>
      <c r="B29" s="51">
        <v>2053</v>
      </c>
      <c r="C29" s="52" t="s">
        <v>257</v>
      </c>
    </row>
    <row r="30" spans="1:3" x14ac:dyDescent="0.3">
      <c r="A30" s="50">
        <v>29</v>
      </c>
      <c r="B30" s="51">
        <v>2054</v>
      </c>
      <c r="C30" s="52" t="s">
        <v>258</v>
      </c>
    </row>
    <row r="31" spans="1:3" x14ac:dyDescent="0.3">
      <c r="A31" s="59">
        <v>30</v>
      </c>
      <c r="B31" s="60">
        <v>2056</v>
      </c>
      <c r="C31" s="61" t="s">
        <v>259</v>
      </c>
    </row>
    <row r="32" spans="1:3" x14ac:dyDescent="0.3">
      <c r="A32" s="50">
        <v>31</v>
      </c>
      <c r="B32" s="51">
        <v>2059</v>
      </c>
      <c r="C32" s="52" t="s">
        <v>260</v>
      </c>
    </row>
    <row r="33" spans="1:3" x14ac:dyDescent="0.3">
      <c r="A33" s="50">
        <v>32</v>
      </c>
      <c r="B33" s="51">
        <v>2060</v>
      </c>
      <c r="C33" s="52" t="s">
        <v>261</v>
      </c>
    </row>
    <row r="34" spans="1:3" x14ac:dyDescent="0.3">
      <c r="A34" s="50">
        <v>33</v>
      </c>
      <c r="B34" s="51">
        <v>2061</v>
      </c>
      <c r="C34" s="52" t="s">
        <v>262</v>
      </c>
    </row>
    <row r="35" spans="1:3" x14ac:dyDescent="0.3">
      <c r="A35" s="50">
        <v>34</v>
      </c>
      <c r="B35" s="51">
        <v>2062</v>
      </c>
      <c r="C35" s="52" t="s">
        <v>263</v>
      </c>
    </row>
    <row r="36" spans="1:3" x14ac:dyDescent="0.3">
      <c r="A36" s="50">
        <v>35</v>
      </c>
      <c r="B36" s="51">
        <v>2064</v>
      </c>
      <c r="C36" s="52" t="s">
        <v>264</v>
      </c>
    </row>
    <row r="37" spans="1:3" x14ac:dyDescent="0.3">
      <c r="A37" s="50">
        <v>36</v>
      </c>
      <c r="B37" s="51">
        <v>2065</v>
      </c>
      <c r="C37" s="52" t="s">
        <v>265</v>
      </c>
    </row>
    <row r="38" spans="1:3" x14ac:dyDescent="0.3">
      <c r="A38" s="50">
        <v>37</v>
      </c>
      <c r="B38" s="51">
        <v>2066</v>
      </c>
      <c r="C38" s="52" t="s">
        <v>266</v>
      </c>
    </row>
    <row r="39" spans="1:3" x14ac:dyDescent="0.3">
      <c r="A39" s="50">
        <v>38</v>
      </c>
      <c r="B39" s="51">
        <v>2067</v>
      </c>
      <c r="C39" s="52" t="s">
        <v>267</v>
      </c>
    </row>
    <row r="40" spans="1:3" x14ac:dyDescent="0.3">
      <c r="A40" s="50">
        <v>39</v>
      </c>
      <c r="B40" s="51">
        <v>2069</v>
      </c>
      <c r="C40" s="52" t="s">
        <v>268</v>
      </c>
    </row>
    <row r="41" spans="1:3" x14ac:dyDescent="0.3">
      <c r="A41" s="50">
        <v>40</v>
      </c>
      <c r="B41" s="51">
        <v>2070</v>
      </c>
      <c r="C41" s="52" t="s">
        <v>254</v>
      </c>
    </row>
    <row r="42" spans="1:3" x14ac:dyDescent="0.3">
      <c r="A42" s="50">
        <v>41</v>
      </c>
      <c r="B42" s="51">
        <v>2072</v>
      </c>
      <c r="C42" s="52" t="s">
        <v>269</v>
      </c>
    </row>
    <row r="43" spans="1:3" x14ac:dyDescent="0.3">
      <c r="A43" s="50">
        <v>42</v>
      </c>
      <c r="B43" s="51">
        <v>2078</v>
      </c>
      <c r="C43" s="52" t="s">
        <v>270</v>
      </c>
    </row>
    <row r="44" spans="1:3" x14ac:dyDescent="0.3">
      <c r="A44" s="50">
        <v>43</v>
      </c>
      <c r="B44" s="51">
        <v>2079</v>
      </c>
      <c r="C44" s="52" t="s">
        <v>271</v>
      </c>
    </row>
    <row r="45" spans="1:3" x14ac:dyDescent="0.3">
      <c r="A45" s="50">
        <v>44</v>
      </c>
      <c r="B45" s="51">
        <v>2080</v>
      </c>
      <c r="C45" s="52" t="s">
        <v>272</v>
      </c>
    </row>
    <row r="46" spans="1:3" x14ac:dyDescent="0.3">
      <c r="A46" s="50">
        <v>45</v>
      </c>
      <c r="B46" s="51">
        <v>2081</v>
      </c>
      <c r="C46" s="52" t="s">
        <v>273</v>
      </c>
    </row>
    <row r="47" spans="1:3" x14ac:dyDescent="0.3">
      <c r="A47" s="50">
        <v>46</v>
      </c>
      <c r="B47" s="51">
        <v>2082</v>
      </c>
      <c r="C47" s="52" t="s">
        <v>274</v>
      </c>
    </row>
    <row r="48" spans="1:3" x14ac:dyDescent="0.3">
      <c r="A48" s="50">
        <v>47</v>
      </c>
      <c r="B48" s="51">
        <v>2083</v>
      </c>
      <c r="C48" s="52" t="s">
        <v>275</v>
      </c>
    </row>
    <row r="49" spans="1:3" x14ac:dyDescent="0.3">
      <c r="A49" s="51">
        <v>48</v>
      </c>
      <c r="B49" s="51">
        <v>2084</v>
      </c>
      <c r="C49" s="52" t="s">
        <v>276</v>
      </c>
    </row>
    <row r="50" spans="1:3" x14ac:dyDescent="0.3">
      <c r="A50" s="50">
        <v>49</v>
      </c>
      <c r="B50" s="62">
        <v>2003</v>
      </c>
      <c r="C50" s="63" t="s">
        <v>277</v>
      </c>
    </row>
    <row r="51" spans="1:3" x14ac:dyDescent="0.3">
      <c r="A51" s="50">
        <v>50</v>
      </c>
      <c r="B51" s="51">
        <v>2024</v>
      </c>
      <c r="C51" s="54" t="s">
        <v>278</v>
      </c>
    </row>
    <row r="52" spans="1:3" x14ac:dyDescent="0.3">
      <c r="A52" s="50">
        <v>51</v>
      </c>
      <c r="B52" s="51">
        <v>2029</v>
      </c>
      <c r="C52" s="54" t="s">
        <v>279</v>
      </c>
    </row>
    <row r="53" spans="1:3" x14ac:dyDescent="0.3">
      <c r="A53" s="50">
        <v>52</v>
      </c>
      <c r="B53" s="51">
        <v>2043</v>
      </c>
      <c r="C53" s="58" t="s">
        <v>280</v>
      </c>
    </row>
    <row r="54" spans="1:3" x14ac:dyDescent="0.3">
      <c r="A54" s="51">
        <v>53</v>
      </c>
      <c r="B54" s="56">
        <v>2055</v>
      </c>
      <c r="C54" s="64" t="s">
        <v>281</v>
      </c>
    </row>
    <row r="55" spans="1:3" x14ac:dyDescent="0.3">
      <c r="A55" s="50">
        <v>54</v>
      </c>
      <c r="B55" s="51">
        <v>2073</v>
      </c>
      <c r="C55" s="52" t="s">
        <v>282</v>
      </c>
    </row>
    <row r="56" spans="1:3" x14ac:dyDescent="0.3">
      <c r="A56" s="50">
        <v>55</v>
      </c>
      <c r="B56" s="51">
        <v>2074</v>
      </c>
      <c r="C56" s="52" t="s">
        <v>283</v>
      </c>
    </row>
    <row r="57" spans="1:3" x14ac:dyDescent="0.3">
      <c r="A57" s="50">
        <v>56</v>
      </c>
      <c r="B57" s="51">
        <v>2075</v>
      </c>
      <c r="C57" s="52" t="s">
        <v>284</v>
      </c>
    </row>
    <row r="58" spans="1:3" x14ac:dyDescent="0.3">
      <c r="A58" s="50">
        <v>57</v>
      </c>
      <c r="B58" s="51">
        <v>2076</v>
      </c>
      <c r="C58" s="52" t="s">
        <v>285</v>
      </c>
    </row>
    <row r="59" spans="1:3" x14ac:dyDescent="0.3">
      <c r="A59" s="60">
        <v>58</v>
      </c>
      <c r="B59" s="60">
        <v>2077</v>
      </c>
      <c r="C59" s="65" t="s">
        <v>286</v>
      </c>
    </row>
    <row r="60" spans="1:3" x14ac:dyDescent="0.3">
      <c r="A60" s="50">
        <v>59</v>
      </c>
      <c r="B60" s="51">
        <v>2086</v>
      </c>
      <c r="C60" s="52" t="s">
        <v>287</v>
      </c>
    </row>
    <row r="61" spans="1:3" x14ac:dyDescent="0.3">
      <c r="A61" s="50">
        <v>60</v>
      </c>
      <c r="B61" s="51">
        <v>2087</v>
      </c>
      <c r="C61" s="52" t="s">
        <v>288</v>
      </c>
    </row>
    <row r="62" spans="1:3" x14ac:dyDescent="0.3">
      <c r="A62" s="50">
        <v>61</v>
      </c>
      <c r="B62" s="66">
        <v>2091</v>
      </c>
      <c r="C62" s="67" t="s">
        <v>289</v>
      </c>
    </row>
    <row r="63" spans="1:3" x14ac:dyDescent="0.3">
      <c r="A63" s="50">
        <v>62</v>
      </c>
      <c r="B63" s="51">
        <v>2088</v>
      </c>
      <c r="C63" s="52" t="s">
        <v>290</v>
      </c>
    </row>
    <row r="64" spans="1:3" x14ac:dyDescent="0.3">
      <c r="A64" s="51">
        <v>63</v>
      </c>
      <c r="B64" s="51">
        <v>2089</v>
      </c>
      <c r="C64" s="52" t="s">
        <v>291</v>
      </c>
    </row>
    <row r="65" spans="1:3" x14ac:dyDescent="0.3">
      <c r="A65" s="50">
        <v>64</v>
      </c>
      <c r="B65" s="51">
        <v>2092</v>
      </c>
      <c r="C65" s="52" t="s">
        <v>292</v>
      </c>
    </row>
    <row r="66" spans="1:3" x14ac:dyDescent="0.3">
      <c r="A66" s="50">
        <v>65</v>
      </c>
      <c r="B66" s="51">
        <v>2093</v>
      </c>
      <c r="C66" s="52" t="s">
        <v>293</v>
      </c>
    </row>
    <row r="67" spans="1:3" x14ac:dyDescent="0.3">
      <c r="A67" s="51">
        <v>66</v>
      </c>
      <c r="B67" s="51">
        <v>2094</v>
      </c>
      <c r="C67" s="52" t="s">
        <v>294</v>
      </c>
    </row>
  </sheetData>
  <conditionalFormatting sqref="B65:B67">
    <cfRule type="duplicateValues" dxfId="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D29" sqref="D29"/>
    </sheetView>
  </sheetViews>
  <sheetFormatPr defaultRowHeight="14.4" x14ac:dyDescent="0.3"/>
  <cols>
    <col min="1" max="1" width="13.6640625" bestFit="1" customWidth="1"/>
    <col min="2" max="2" width="14" bestFit="1" customWidth="1"/>
    <col min="3" max="3" width="14.6640625" bestFit="1" customWidth="1"/>
    <col min="4" max="4" width="21.88671875" bestFit="1" customWidth="1"/>
    <col min="5" max="5" width="18.5546875" bestFit="1" customWidth="1"/>
    <col min="6" max="6" width="20.33203125" bestFit="1" customWidth="1"/>
    <col min="7" max="7" width="19.33203125" bestFit="1" customWidth="1"/>
    <col min="8" max="8" width="21.5546875" bestFit="1" customWidth="1"/>
  </cols>
  <sheetData>
    <row r="1" spans="1:8" ht="28.8" x14ac:dyDescent="0.3">
      <c r="A1" s="28" t="s">
        <v>167</v>
      </c>
      <c r="B1" s="28" t="s">
        <v>168</v>
      </c>
      <c r="C1" s="28" t="s">
        <v>169</v>
      </c>
      <c r="D1" s="28" t="s">
        <v>170</v>
      </c>
      <c r="E1" s="28" t="s">
        <v>171</v>
      </c>
      <c r="F1" s="28" t="s">
        <v>172</v>
      </c>
      <c r="G1" s="28" t="s">
        <v>173</v>
      </c>
      <c r="H1" s="28" t="s">
        <v>174</v>
      </c>
    </row>
    <row r="2" spans="1:8" ht="15.75" customHeight="1" x14ac:dyDescent="0.3">
      <c r="A2" s="24">
        <v>1</v>
      </c>
      <c r="B2" s="6" t="s">
        <v>17</v>
      </c>
      <c r="C2" s="27" t="s">
        <v>175</v>
      </c>
      <c r="D2" s="15" t="s">
        <v>18</v>
      </c>
      <c r="E2" s="21" t="s">
        <v>176</v>
      </c>
      <c r="F2" s="5">
        <v>2009</v>
      </c>
      <c r="G2" s="21" t="s">
        <v>177</v>
      </c>
      <c r="H2" s="21" t="s">
        <v>178</v>
      </c>
    </row>
    <row r="3" spans="1:8" ht="15.75" customHeight="1" x14ac:dyDescent="0.3">
      <c r="A3" s="24">
        <v>2</v>
      </c>
      <c r="B3" s="6" t="s">
        <v>105</v>
      </c>
      <c r="C3" s="27" t="s">
        <v>175</v>
      </c>
      <c r="D3" s="15" t="s">
        <v>44</v>
      </c>
      <c r="E3" s="21" t="s">
        <v>176</v>
      </c>
      <c r="F3" s="5">
        <v>2000</v>
      </c>
      <c r="G3" s="21" t="s">
        <v>177</v>
      </c>
      <c r="H3" s="21" t="s">
        <v>178</v>
      </c>
    </row>
    <row r="4" spans="1:8" ht="15.75" customHeight="1" x14ac:dyDescent="0.3">
      <c r="A4" s="24">
        <v>3</v>
      </c>
      <c r="B4" s="6" t="s">
        <v>121</v>
      </c>
      <c r="C4" s="27" t="s">
        <v>175</v>
      </c>
      <c r="D4" s="15" t="s">
        <v>44</v>
      </c>
      <c r="E4" s="21" t="s">
        <v>176</v>
      </c>
      <c r="F4" s="5">
        <v>2017</v>
      </c>
      <c r="G4" s="21" t="s">
        <v>177</v>
      </c>
      <c r="H4" s="21" t="s">
        <v>178</v>
      </c>
    </row>
    <row r="5" spans="1:8" ht="15.75" customHeight="1" x14ac:dyDescent="0.3">
      <c r="A5" s="24">
        <v>4</v>
      </c>
      <c r="B5" s="6" t="s">
        <v>95</v>
      </c>
      <c r="C5" s="31" t="s">
        <v>179</v>
      </c>
      <c r="D5" s="15" t="s">
        <v>18</v>
      </c>
      <c r="E5" s="21" t="s">
        <v>176</v>
      </c>
      <c r="F5" s="5">
        <v>2009</v>
      </c>
      <c r="G5" s="21" t="s">
        <v>177</v>
      </c>
      <c r="H5" s="21" t="s">
        <v>178</v>
      </c>
    </row>
    <row r="6" spans="1:8" ht="15.75" customHeight="1" x14ac:dyDescent="0.3">
      <c r="A6" s="24">
        <v>5</v>
      </c>
      <c r="B6" s="6">
        <v>38948</v>
      </c>
      <c r="C6" s="31" t="s">
        <v>179</v>
      </c>
      <c r="D6" s="15" t="s">
        <v>44</v>
      </c>
      <c r="E6" s="21" t="s">
        <v>176</v>
      </c>
      <c r="F6" s="5">
        <v>2011</v>
      </c>
      <c r="G6" s="21" t="s">
        <v>177</v>
      </c>
      <c r="H6" s="21" t="s">
        <v>178</v>
      </c>
    </row>
    <row r="7" spans="1:8" ht="15.75" customHeight="1" x14ac:dyDescent="0.3">
      <c r="A7" s="24">
        <v>6</v>
      </c>
      <c r="B7" s="6">
        <v>9158</v>
      </c>
      <c r="C7" s="31" t="s">
        <v>179</v>
      </c>
      <c r="D7" s="15" t="s">
        <v>44</v>
      </c>
      <c r="E7" s="21" t="s">
        <v>176</v>
      </c>
      <c r="F7" s="5">
        <v>2005</v>
      </c>
      <c r="G7" s="21" t="s">
        <v>177</v>
      </c>
      <c r="H7" s="21" t="s">
        <v>178</v>
      </c>
    </row>
    <row r="8" spans="1:8" ht="15.75" customHeight="1" x14ac:dyDescent="0.3">
      <c r="A8" s="24">
        <v>7</v>
      </c>
      <c r="B8" s="6">
        <v>22422</v>
      </c>
      <c r="C8" s="31" t="s">
        <v>179</v>
      </c>
      <c r="D8" s="15" t="s">
        <v>44</v>
      </c>
      <c r="E8" s="21" t="s">
        <v>176</v>
      </c>
      <c r="F8" s="5">
        <v>2009</v>
      </c>
      <c r="G8" s="21" t="s">
        <v>177</v>
      </c>
      <c r="H8" s="21" t="s">
        <v>178</v>
      </c>
    </row>
    <row r="9" spans="1:8" ht="15.75" customHeight="1" x14ac:dyDescent="0.3">
      <c r="A9" s="24">
        <v>8</v>
      </c>
      <c r="B9" s="6">
        <v>23950</v>
      </c>
      <c r="C9" s="31" t="s">
        <v>179</v>
      </c>
      <c r="D9" s="15" t="s">
        <v>44</v>
      </c>
      <c r="E9" s="21" t="s">
        <v>176</v>
      </c>
      <c r="F9" s="5">
        <v>2009</v>
      </c>
      <c r="G9" s="21" t="s">
        <v>177</v>
      </c>
      <c r="H9" s="21" t="s">
        <v>178</v>
      </c>
    </row>
    <row r="10" spans="1:8" ht="15.75" customHeight="1" x14ac:dyDescent="0.3">
      <c r="A10" s="24">
        <v>9</v>
      </c>
      <c r="B10" s="6" t="s">
        <v>119</v>
      </c>
      <c r="C10" s="29" t="s">
        <v>175</v>
      </c>
      <c r="D10" s="15" t="s">
        <v>44</v>
      </c>
      <c r="E10" s="30" t="s">
        <v>176</v>
      </c>
      <c r="F10" s="5">
        <v>2017</v>
      </c>
      <c r="G10" s="30" t="s">
        <v>177</v>
      </c>
      <c r="H10" s="30" t="s">
        <v>178</v>
      </c>
    </row>
    <row r="11" spans="1:8" ht="15.75" customHeight="1" x14ac:dyDescent="0.3">
      <c r="A11" s="24">
        <v>10</v>
      </c>
      <c r="B11" s="6" t="s">
        <v>109</v>
      </c>
      <c r="C11" s="29" t="s">
        <v>175</v>
      </c>
      <c r="D11" s="15" t="s">
        <v>76</v>
      </c>
      <c r="E11" s="30" t="s">
        <v>176</v>
      </c>
      <c r="F11" s="5">
        <v>2007</v>
      </c>
      <c r="G11" s="30" t="s">
        <v>177</v>
      </c>
      <c r="H11" s="30" t="s">
        <v>178</v>
      </c>
    </row>
    <row r="12" spans="1:8" ht="15.75" customHeight="1" x14ac:dyDescent="0.3">
      <c r="A12" s="24">
        <v>11</v>
      </c>
      <c r="B12" s="6" t="s">
        <v>53</v>
      </c>
      <c r="C12" s="29" t="s">
        <v>175</v>
      </c>
      <c r="D12" s="15" t="s">
        <v>76</v>
      </c>
      <c r="E12" s="30" t="s">
        <v>176</v>
      </c>
      <c r="F12" s="5">
        <v>2009</v>
      </c>
      <c r="G12" s="30" t="s">
        <v>177</v>
      </c>
      <c r="H12" s="30" t="s">
        <v>178</v>
      </c>
    </row>
    <row r="13" spans="1:8" ht="15.75" customHeight="1" x14ac:dyDescent="0.3">
      <c r="A13" s="24">
        <v>12</v>
      </c>
      <c r="B13" s="6" t="s">
        <v>72</v>
      </c>
      <c r="C13" s="29" t="s">
        <v>175</v>
      </c>
      <c r="D13" s="15" t="s">
        <v>44</v>
      </c>
      <c r="E13" s="30" t="s">
        <v>176</v>
      </c>
      <c r="F13" s="5">
        <v>2005</v>
      </c>
      <c r="G13" s="30" t="s">
        <v>177</v>
      </c>
      <c r="H13" s="30" t="s">
        <v>178</v>
      </c>
    </row>
    <row r="14" spans="1:8" ht="15.75" customHeight="1" x14ac:dyDescent="0.3">
      <c r="A14" s="24">
        <v>13</v>
      </c>
      <c r="B14" s="9" t="s">
        <v>82</v>
      </c>
      <c r="C14" s="29" t="s">
        <v>175</v>
      </c>
      <c r="D14" s="15" t="s">
        <v>44</v>
      </c>
      <c r="E14" s="30" t="s">
        <v>176</v>
      </c>
      <c r="F14" s="5">
        <v>2013</v>
      </c>
      <c r="G14" s="30" t="s">
        <v>177</v>
      </c>
      <c r="H14" s="30" t="s">
        <v>178</v>
      </c>
    </row>
    <row r="15" spans="1:8" ht="15.75" customHeight="1" x14ac:dyDescent="0.3">
      <c r="A15" s="24">
        <v>14</v>
      </c>
      <c r="B15" s="9" t="s">
        <v>127</v>
      </c>
      <c r="C15" s="29" t="s">
        <v>175</v>
      </c>
      <c r="D15" s="15" t="s">
        <v>44</v>
      </c>
      <c r="E15" s="30" t="s">
        <v>176</v>
      </c>
      <c r="F15" s="5">
        <v>2015</v>
      </c>
      <c r="G15" s="30" t="s">
        <v>177</v>
      </c>
      <c r="H15" s="30" t="s">
        <v>178</v>
      </c>
    </row>
    <row r="16" spans="1:8" ht="15.75" customHeight="1" x14ac:dyDescent="0.3">
      <c r="A16" s="24">
        <v>15</v>
      </c>
      <c r="B16" s="9" t="s">
        <v>128</v>
      </c>
      <c r="C16" s="29" t="s">
        <v>175</v>
      </c>
      <c r="D16" s="15" t="s">
        <v>44</v>
      </c>
      <c r="E16" s="30" t="s">
        <v>176</v>
      </c>
      <c r="F16" s="5">
        <v>2016</v>
      </c>
      <c r="G16" s="30" t="s">
        <v>177</v>
      </c>
      <c r="H16" s="30" t="s">
        <v>178</v>
      </c>
    </row>
    <row r="17" spans="1:8" ht="15.75" customHeight="1" x14ac:dyDescent="0.3">
      <c r="A17" s="24">
        <v>16</v>
      </c>
      <c r="B17" s="9" t="s">
        <v>57</v>
      </c>
      <c r="C17" s="29" t="s">
        <v>175</v>
      </c>
      <c r="D17" s="15" t="s">
        <v>44</v>
      </c>
      <c r="E17" s="30" t="s">
        <v>176</v>
      </c>
      <c r="F17" s="5">
        <v>2005</v>
      </c>
      <c r="G17" s="30" t="s">
        <v>177</v>
      </c>
      <c r="H17" s="30" t="s">
        <v>178</v>
      </c>
    </row>
    <row r="18" spans="1:8" ht="15.75" customHeight="1" x14ac:dyDescent="0.3">
      <c r="A18" s="24">
        <v>17</v>
      </c>
      <c r="B18" s="9" t="s">
        <v>135</v>
      </c>
      <c r="C18" s="29" t="s">
        <v>175</v>
      </c>
      <c r="D18" s="15" t="s">
        <v>44</v>
      </c>
      <c r="E18" s="30" t="s">
        <v>176</v>
      </c>
      <c r="F18" s="5">
        <v>2012</v>
      </c>
      <c r="G18" s="30" t="s">
        <v>177</v>
      </c>
      <c r="H18" s="30" t="s">
        <v>178</v>
      </c>
    </row>
    <row r="19" spans="1:8" ht="15.75" customHeight="1" x14ac:dyDescent="0.3">
      <c r="A19" s="24">
        <v>18</v>
      </c>
      <c r="B19" s="9" t="s">
        <v>137</v>
      </c>
      <c r="C19" s="29" t="s">
        <v>175</v>
      </c>
      <c r="D19" s="15" t="s">
        <v>44</v>
      </c>
      <c r="E19" s="30" t="s">
        <v>176</v>
      </c>
      <c r="F19" s="5">
        <v>2012</v>
      </c>
      <c r="G19" s="30" t="s">
        <v>177</v>
      </c>
      <c r="H19" s="30" t="s">
        <v>178</v>
      </c>
    </row>
    <row r="20" spans="1:8" ht="15.75" customHeight="1" x14ac:dyDescent="0.3">
      <c r="A20" s="24">
        <v>19</v>
      </c>
      <c r="B20" s="9" t="s">
        <v>111</v>
      </c>
      <c r="C20" s="29" t="s">
        <v>175</v>
      </c>
      <c r="D20" s="15" t="s">
        <v>44</v>
      </c>
      <c r="E20" s="30" t="s">
        <v>176</v>
      </c>
      <c r="F20" s="5">
        <v>2017</v>
      </c>
      <c r="G20" s="30" t="s">
        <v>177</v>
      </c>
      <c r="H20" s="30" t="s">
        <v>178</v>
      </c>
    </row>
    <row r="21" spans="1:8" ht="15.75" customHeight="1" x14ac:dyDescent="0.3">
      <c r="A21" s="24">
        <v>20</v>
      </c>
      <c r="B21" s="6">
        <v>20118</v>
      </c>
      <c r="C21" s="32" t="s">
        <v>179</v>
      </c>
      <c r="D21" s="15" t="s">
        <v>44</v>
      </c>
      <c r="E21" s="30" t="s">
        <v>176</v>
      </c>
      <c r="F21" s="5">
        <v>1999</v>
      </c>
      <c r="G21" s="30" t="s">
        <v>177</v>
      </c>
      <c r="H21" s="30" t="s">
        <v>178</v>
      </c>
    </row>
    <row r="22" spans="1:8" ht="15.75" customHeight="1" x14ac:dyDescent="0.3">
      <c r="A22" s="24">
        <v>21</v>
      </c>
      <c r="B22" s="9" t="s">
        <v>84</v>
      </c>
      <c r="C22" s="29" t="s">
        <v>175</v>
      </c>
      <c r="D22" s="15" t="s">
        <v>44</v>
      </c>
      <c r="E22" s="30" t="s">
        <v>176</v>
      </c>
      <c r="F22" s="5">
        <v>1998</v>
      </c>
      <c r="G22" s="30" t="s">
        <v>177</v>
      </c>
      <c r="H22" s="30" t="s">
        <v>178</v>
      </c>
    </row>
    <row r="23" spans="1:8" ht="15.75" customHeight="1" x14ac:dyDescent="0.3">
      <c r="A23" s="24">
        <v>22</v>
      </c>
      <c r="B23" s="9" t="s">
        <v>86</v>
      </c>
      <c r="C23" s="29" t="s">
        <v>175</v>
      </c>
      <c r="D23" s="15" t="s">
        <v>44</v>
      </c>
      <c r="E23" s="30" t="s">
        <v>176</v>
      </c>
      <c r="F23" s="5">
        <v>2016</v>
      </c>
      <c r="G23" s="30" t="s">
        <v>177</v>
      </c>
      <c r="H23" s="30" t="s">
        <v>178</v>
      </c>
    </row>
    <row r="24" spans="1:8" ht="15.75" customHeight="1" x14ac:dyDescent="0.3">
      <c r="A24" s="24">
        <v>23</v>
      </c>
      <c r="B24" s="9" t="s">
        <v>85</v>
      </c>
      <c r="C24" s="29" t="s">
        <v>175</v>
      </c>
      <c r="D24" s="15" t="s">
        <v>44</v>
      </c>
      <c r="E24" s="30" t="s">
        <v>176</v>
      </c>
      <c r="F24" s="5">
        <v>2016</v>
      </c>
      <c r="G24" s="30" t="s">
        <v>177</v>
      </c>
      <c r="H24" s="30" t="s">
        <v>178</v>
      </c>
    </row>
    <row r="25" spans="1:8" ht="15.6" x14ac:dyDescent="0.3">
      <c r="A25" s="24">
        <v>24</v>
      </c>
      <c r="B25" s="9" t="s">
        <v>110</v>
      </c>
      <c r="C25" s="29" t="s">
        <v>175</v>
      </c>
      <c r="D25" s="15" t="s">
        <v>44</v>
      </c>
      <c r="E25" s="30" t="s">
        <v>176</v>
      </c>
      <c r="F25" s="5">
        <v>2017</v>
      </c>
      <c r="G25" s="30" t="s">
        <v>177</v>
      </c>
      <c r="H25" s="30" t="s">
        <v>178</v>
      </c>
    </row>
    <row r="26" spans="1:8" ht="15.6" x14ac:dyDescent="0.3">
      <c r="A26" s="24">
        <v>25</v>
      </c>
      <c r="B26" s="6">
        <v>38948</v>
      </c>
      <c r="C26" s="31" t="s">
        <v>179</v>
      </c>
      <c r="D26" s="15" t="s">
        <v>44</v>
      </c>
      <c r="E26" s="30" t="s">
        <v>176</v>
      </c>
      <c r="F26" s="5">
        <v>2005</v>
      </c>
      <c r="G26" s="30" t="s">
        <v>177</v>
      </c>
      <c r="H26" s="30" t="s">
        <v>178</v>
      </c>
    </row>
    <row r="27" spans="1:8" ht="15.6" x14ac:dyDescent="0.3">
      <c r="A27" s="24">
        <v>26</v>
      </c>
      <c r="B27" s="6" t="s">
        <v>161</v>
      </c>
      <c r="C27" s="33" t="s">
        <v>175</v>
      </c>
      <c r="D27" s="15" t="s">
        <v>44</v>
      </c>
      <c r="E27" s="30" t="s">
        <v>176</v>
      </c>
      <c r="F27" s="5">
        <v>2015</v>
      </c>
      <c r="G27" s="30" t="s">
        <v>177</v>
      </c>
      <c r="H27" s="30" t="s">
        <v>178</v>
      </c>
    </row>
    <row r="28" spans="1:8" ht="15.6" x14ac:dyDescent="0.3">
      <c r="A28" s="24">
        <v>27</v>
      </c>
      <c r="B28" s="6" t="s">
        <v>162</v>
      </c>
      <c r="C28" s="33" t="s">
        <v>175</v>
      </c>
      <c r="D28" s="15" t="s">
        <v>44</v>
      </c>
      <c r="E28" s="30" t="s">
        <v>176</v>
      </c>
      <c r="F28" s="5">
        <v>2012</v>
      </c>
      <c r="G28" s="30" t="s">
        <v>177</v>
      </c>
      <c r="H28" s="30" t="s">
        <v>178</v>
      </c>
    </row>
    <row r="29" spans="1:8" ht="15.6" x14ac:dyDescent="0.3">
      <c r="A29" s="24">
        <v>28</v>
      </c>
      <c r="B29" s="6" t="s">
        <v>163</v>
      </c>
      <c r="C29" s="33" t="s">
        <v>175</v>
      </c>
      <c r="D29" s="15" t="s">
        <v>44</v>
      </c>
      <c r="E29" s="30" t="s">
        <v>176</v>
      </c>
      <c r="F29" s="5">
        <v>2013</v>
      </c>
      <c r="G29" s="30" t="s">
        <v>177</v>
      </c>
      <c r="H29" s="30" t="s">
        <v>178</v>
      </c>
    </row>
    <row r="30" spans="1:8" ht="15.6" x14ac:dyDescent="0.3">
      <c r="A30" s="24">
        <v>29</v>
      </c>
      <c r="B30" s="6">
        <v>45933</v>
      </c>
      <c r="C30" s="31" t="s">
        <v>179</v>
      </c>
      <c r="D30" s="15" t="s">
        <v>44</v>
      </c>
      <c r="E30" s="30" t="s">
        <v>176</v>
      </c>
      <c r="F30" s="5">
        <v>2009</v>
      </c>
      <c r="G30" s="30" t="s">
        <v>177</v>
      </c>
      <c r="H30" s="30" t="s">
        <v>178</v>
      </c>
    </row>
    <row r="31" spans="1:8" ht="15.6" x14ac:dyDescent="0.3">
      <c r="A31" s="24">
        <v>30</v>
      </c>
      <c r="B31" s="6">
        <v>28647</v>
      </c>
      <c r="C31" s="31" t="s">
        <v>179</v>
      </c>
      <c r="D31" s="15" t="s">
        <v>44</v>
      </c>
      <c r="E31" s="30" t="s">
        <v>176</v>
      </c>
      <c r="F31" s="5">
        <v>2013</v>
      </c>
      <c r="G31" s="30" t="s">
        <v>177</v>
      </c>
      <c r="H31" s="30" t="s">
        <v>178</v>
      </c>
    </row>
    <row r="32" spans="1:8" ht="15.6" x14ac:dyDescent="0.3">
      <c r="A32" s="24">
        <v>31</v>
      </c>
      <c r="B32" s="6">
        <v>47062</v>
      </c>
      <c r="C32" s="31" t="s">
        <v>179</v>
      </c>
      <c r="D32" s="15" t="s">
        <v>44</v>
      </c>
      <c r="E32" s="30" t="s">
        <v>176</v>
      </c>
      <c r="F32" s="5">
        <v>2009</v>
      </c>
      <c r="G32" s="30" t="s">
        <v>177</v>
      </c>
      <c r="H32" s="30" t="s">
        <v>178</v>
      </c>
    </row>
    <row r="33" spans="1:8" ht="15.6" x14ac:dyDescent="0.3">
      <c r="A33" s="24">
        <v>32</v>
      </c>
      <c r="B33" s="6">
        <v>48002</v>
      </c>
      <c r="C33" s="31" t="s">
        <v>179</v>
      </c>
      <c r="D33" s="15" t="s">
        <v>44</v>
      </c>
      <c r="E33" s="30" t="s">
        <v>176</v>
      </c>
      <c r="F33" s="5">
        <v>2003</v>
      </c>
      <c r="G33" s="30" t="s">
        <v>177</v>
      </c>
      <c r="H33" s="30" t="s">
        <v>178</v>
      </c>
    </row>
    <row r="34" spans="1:8" ht="15.6" x14ac:dyDescent="0.3">
      <c r="A34" s="24">
        <v>33</v>
      </c>
      <c r="B34" s="6">
        <v>63082</v>
      </c>
      <c r="C34" s="31" t="s">
        <v>179</v>
      </c>
      <c r="D34" s="15" t="s">
        <v>44</v>
      </c>
      <c r="E34" s="30" t="s">
        <v>176</v>
      </c>
      <c r="F34" s="5">
        <v>2008</v>
      </c>
      <c r="G34" s="30" t="s">
        <v>177</v>
      </c>
      <c r="H34" s="30" t="s">
        <v>178</v>
      </c>
    </row>
    <row r="35" spans="1:8" ht="15.6" x14ac:dyDescent="0.3">
      <c r="A35" s="24">
        <v>34</v>
      </c>
      <c r="B35" s="6">
        <v>50552</v>
      </c>
      <c r="C35" s="31" t="s">
        <v>179</v>
      </c>
      <c r="D35" s="15" t="s">
        <v>44</v>
      </c>
      <c r="E35" s="30" t="s">
        <v>176</v>
      </c>
      <c r="F35" s="5">
        <v>2013</v>
      </c>
      <c r="G35" s="30" t="s">
        <v>177</v>
      </c>
      <c r="H35" s="30" t="s">
        <v>178</v>
      </c>
    </row>
    <row r="36" spans="1:8" ht="15.6" x14ac:dyDescent="0.3">
      <c r="A36" s="24">
        <v>35</v>
      </c>
      <c r="B36" s="6">
        <v>7191</v>
      </c>
      <c r="C36" s="31" t="s">
        <v>179</v>
      </c>
      <c r="D36" s="15" t="s">
        <v>44</v>
      </c>
      <c r="E36" s="30" t="s">
        <v>176</v>
      </c>
      <c r="F36" s="5">
        <v>2006</v>
      </c>
      <c r="G36" s="30" t="s">
        <v>177</v>
      </c>
      <c r="H36" s="30" t="s">
        <v>178</v>
      </c>
    </row>
    <row r="37" spans="1:8" ht="15.6" x14ac:dyDescent="0.3">
      <c r="A37" s="24">
        <v>36</v>
      </c>
      <c r="B37" s="6" t="s">
        <v>181</v>
      </c>
      <c r="C37" s="33" t="s">
        <v>175</v>
      </c>
      <c r="D37" s="15" t="s">
        <v>44</v>
      </c>
      <c r="E37" s="30" t="s">
        <v>176</v>
      </c>
      <c r="F37" s="5">
        <v>2013</v>
      </c>
      <c r="G37" s="30" t="s">
        <v>177</v>
      </c>
      <c r="H37" s="30" t="s">
        <v>178</v>
      </c>
    </row>
    <row r="38" spans="1:8" ht="15.6" x14ac:dyDescent="0.3">
      <c r="A38" s="24">
        <v>37</v>
      </c>
      <c r="B38" s="9" t="s">
        <v>161</v>
      </c>
      <c r="C38" s="29" t="s">
        <v>175</v>
      </c>
      <c r="D38" s="15" t="s">
        <v>44</v>
      </c>
      <c r="E38" s="30" t="s">
        <v>176</v>
      </c>
      <c r="F38" s="5">
        <v>2015</v>
      </c>
      <c r="G38" s="30" t="s">
        <v>177</v>
      </c>
      <c r="H38" s="30" t="s">
        <v>178</v>
      </c>
    </row>
    <row r="39" spans="1:8" ht="15.6" x14ac:dyDescent="0.3">
      <c r="A39" s="24">
        <v>38</v>
      </c>
      <c r="B39" s="9" t="s">
        <v>162</v>
      </c>
      <c r="C39" s="29" t="s">
        <v>175</v>
      </c>
      <c r="D39" s="15" t="s">
        <v>44</v>
      </c>
      <c r="E39" s="30" t="s">
        <v>176</v>
      </c>
      <c r="F39" s="5">
        <v>2012</v>
      </c>
      <c r="G39" s="30" t="s">
        <v>177</v>
      </c>
      <c r="H39" s="30" t="s">
        <v>178</v>
      </c>
    </row>
    <row r="40" spans="1:8" ht="15.6" x14ac:dyDescent="0.3">
      <c r="A40" s="24">
        <v>39</v>
      </c>
      <c r="B40" s="9" t="s">
        <v>183</v>
      </c>
      <c r="C40" s="29" t="s">
        <v>175</v>
      </c>
      <c r="D40" s="15" t="s">
        <v>44</v>
      </c>
      <c r="E40" s="30" t="s">
        <v>176</v>
      </c>
      <c r="F40" s="5">
        <v>2012</v>
      </c>
      <c r="G40" s="30" t="s">
        <v>177</v>
      </c>
      <c r="H40" s="30" t="s">
        <v>178</v>
      </c>
    </row>
    <row r="41" spans="1:8" ht="15.6" x14ac:dyDescent="0.3">
      <c r="A41" s="24">
        <v>40</v>
      </c>
      <c r="B41" s="9" t="s">
        <v>184</v>
      </c>
      <c r="C41" s="29" t="s">
        <v>175</v>
      </c>
      <c r="D41" s="15" t="s">
        <v>44</v>
      </c>
      <c r="E41" s="30" t="s">
        <v>176</v>
      </c>
      <c r="F41" s="5">
        <v>2012</v>
      </c>
      <c r="G41" s="30" t="s">
        <v>177</v>
      </c>
      <c r="H41" s="30" t="s">
        <v>178</v>
      </c>
    </row>
    <row r="42" spans="1:8" ht="15.6" x14ac:dyDescent="0.3">
      <c r="A42" s="24">
        <v>41</v>
      </c>
      <c r="B42" s="9" t="s">
        <v>185</v>
      </c>
      <c r="C42" s="29" t="s">
        <v>175</v>
      </c>
      <c r="D42" s="15" t="s">
        <v>44</v>
      </c>
      <c r="E42" s="30" t="s">
        <v>176</v>
      </c>
      <c r="F42" s="5">
        <v>2011</v>
      </c>
      <c r="G42" s="30" t="s">
        <v>177</v>
      </c>
      <c r="H42" s="30" t="s">
        <v>178</v>
      </c>
    </row>
    <row r="43" spans="1:8" ht="15.6" x14ac:dyDescent="0.3">
      <c r="A43" s="24">
        <v>42</v>
      </c>
      <c r="B43" s="9" t="s">
        <v>186</v>
      </c>
      <c r="C43" s="29" t="s">
        <v>175</v>
      </c>
      <c r="D43" s="15" t="s">
        <v>44</v>
      </c>
      <c r="E43" s="30" t="s">
        <v>176</v>
      </c>
      <c r="F43" s="5">
        <v>2008</v>
      </c>
      <c r="G43" s="30" t="s">
        <v>177</v>
      </c>
      <c r="H43" s="30" t="s">
        <v>178</v>
      </c>
    </row>
    <row r="44" spans="1:8" ht="15.6" x14ac:dyDescent="0.3">
      <c r="A44" s="24">
        <v>43</v>
      </c>
      <c r="B44" s="6" t="s">
        <v>48</v>
      </c>
      <c r="C44" s="29" t="s">
        <v>175</v>
      </c>
      <c r="D44" s="15" t="s">
        <v>44</v>
      </c>
      <c r="E44" s="30" t="s">
        <v>176</v>
      </c>
      <c r="F44" s="5">
        <v>2003</v>
      </c>
      <c r="G44" s="30" t="s">
        <v>177</v>
      </c>
      <c r="H44" s="30" t="s">
        <v>178</v>
      </c>
    </row>
  </sheetData>
  <autoFilter ref="A1:H1">
    <sortState ref="A2:H25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G21" sqref="G21"/>
    </sheetView>
  </sheetViews>
  <sheetFormatPr defaultRowHeight="14.4" x14ac:dyDescent="0.3"/>
  <cols>
    <col min="1" max="1" width="5.109375" bestFit="1" customWidth="1"/>
    <col min="2" max="2" width="9.77734375" bestFit="1" customWidth="1"/>
    <col min="3" max="3" width="15.44140625" bestFit="1" customWidth="1"/>
    <col min="4" max="4" width="7.109375" bestFit="1" customWidth="1"/>
    <col min="5" max="5" width="16.88671875" bestFit="1" customWidth="1"/>
    <col min="6" max="6" width="10.5546875" bestFit="1" customWidth="1"/>
    <col min="7" max="7" width="19.21875" bestFit="1" customWidth="1"/>
    <col min="8" max="8" width="10.5546875" bestFit="1" customWidth="1"/>
    <col min="9" max="9" width="11" bestFit="1" customWidth="1"/>
    <col min="11" max="11" width="10" bestFit="1" customWidth="1"/>
  </cols>
  <sheetData>
    <row r="1" spans="1:11" x14ac:dyDescent="0.3">
      <c r="A1" s="166" t="s">
        <v>5</v>
      </c>
      <c r="B1" s="166" t="s">
        <v>0</v>
      </c>
      <c r="C1" s="166" t="s">
        <v>10</v>
      </c>
      <c r="D1" s="166" t="s">
        <v>1</v>
      </c>
      <c r="E1" s="166" t="s">
        <v>2</v>
      </c>
      <c r="F1" s="166" t="s">
        <v>187</v>
      </c>
      <c r="G1" s="166" t="s">
        <v>4</v>
      </c>
      <c r="H1" s="166" t="s">
        <v>187</v>
      </c>
      <c r="I1" s="167" t="s">
        <v>454</v>
      </c>
      <c r="K1" s="168" t="s">
        <v>457</v>
      </c>
    </row>
    <row r="2" spans="1:11" ht="15.6" x14ac:dyDescent="0.3">
      <c r="A2" s="97">
        <v>1</v>
      </c>
      <c r="B2" s="78" t="s">
        <v>13</v>
      </c>
      <c r="C2" s="35" t="s">
        <v>14</v>
      </c>
      <c r="D2" s="34">
        <v>2019</v>
      </c>
      <c r="E2" s="36">
        <v>46596</v>
      </c>
      <c r="F2" s="13">
        <f ca="1">E2-TODAY()</f>
        <v>293</v>
      </c>
      <c r="G2" s="36">
        <v>46627</v>
      </c>
      <c r="H2" s="13">
        <f ca="1">G2-TODAY()</f>
        <v>324</v>
      </c>
      <c r="I2" t="s">
        <v>455</v>
      </c>
      <c r="J2" t="s">
        <v>456</v>
      </c>
    </row>
    <row r="3" spans="1:11" ht="15.6" x14ac:dyDescent="0.3">
      <c r="A3">
        <v>2</v>
      </c>
      <c r="B3" s="154" t="s">
        <v>61</v>
      </c>
      <c r="C3" s="9" t="s">
        <v>198</v>
      </c>
      <c r="D3" s="5">
        <v>2023</v>
      </c>
      <c r="E3" s="7">
        <v>46318</v>
      </c>
      <c r="F3" s="13">
        <v>44</v>
      </c>
      <c r="G3" s="7">
        <v>46349</v>
      </c>
      <c r="H3" s="13">
        <v>75</v>
      </c>
      <c r="I3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3dae04-b4f6-4aef-9b18-eb071c82d557">
      <Terms xmlns="http://schemas.microsoft.com/office/infopath/2007/PartnerControls"/>
    </lcf76f155ced4ddcb4097134ff3c332f>
    <TaxCatchAll xmlns="8ba08618-0f0d-4db1-b8f4-17b67ada1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2725308DD4749BC94EE2AB3CC7A4D" ma:contentTypeVersion="12" ma:contentTypeDescription="Create a new document." ma:contentTypeScope="" ma:versionID="872f2e694974f667a0e941b89db7ec31">
  <xsd:schema xmlns:xsd="http://www.w3.org/2001/XMLSchema" xmlns:xs="http://www.w3.org/2001/XMLSchema" xmlns:p="http://schemas.microsoft.com/office/2006/metadata/properties" xmlns:ns2="8e3dae04-b4f6-4aef-9b18-eb071c82d557" xmlns:ns3="8ba08618-0f0d-4db1-b8f4-17b67ada1d60" targetNamespace="http://schemas.microsoft.com/office/2006/metadata/properties" ma:root="true" ma:fieldsID="ef8d7838a832f217881f22bf86834b20" ns2:_="" ns3:_="">
    <xsd:import namespace="8e3dae04-b4f6-4aef-9b18-eb071c82d557"/>
    <xsd:import namespace="8ba08618-0f0d-4db1-b8f4-17b67ada1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dae04-b4f6-4aef-9b18-eb071c82d5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d0375a-58a5-4fde-b2b7-26eaa290c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08618-0f0d-4db1-b8f4-17b67ada1d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39aa5d-eddb-49ff-9b58-30170d1da492}" ma:internalName="TaxCatchAll" ma:showField="CatchAllData" ma:web="8ba08618-0f0d-4db1-b8f4-17b67ada1d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3396B1-7703-43FC-8536-E4D10246033E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ba08618-0f0d-4db1-b8f4-17b67ada1d60"/>
    <ds:schemaRef ds:uri="8e3dae04-b4f6-4aef-9b18-eb071c82d557"/>
  </ds:schemaRefs>
</ds:datastoreItem>
</file>

<file path=customXml/itemProps2.xml><?xml version="1.0" encoding="utf-8"?>
<ds:datastoreItem xmlns:ds="http://schemas.openxmlformats.org/officeDocument/2006/customXml" ds:itemID="{F8B3E88E-C9D0-445A-835C-C7252F3A4B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A7DA87-E698-43AD-A3B1-AE330733C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3dae04-b4f6-4aef-9b18-eb071c82d557"/>
    <ds:schemaRef ds:uri="8ba08618-0f0d-4db1-b8f4-17b67ada1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Fleet Status </vt:lpstr>
      <vt:lpstr>Managmenet Car </vt:lpstr>
      <vt:lpstr>AJMAL </vt:lpstr>
      <vt:lpstr>Noble marine </vt:lpstr>
      <vt:lpstr>Noble star </vt:lpstr>
      <vt:lpstr>Ayaana Cargo</vt:lpstr>
      <vt:lpstr>Halima Pipe</vt:lpstr>
      <vt:lpstr>Geo Foundation</vt:lpstr>
      <vt:lpstr>Ajmal Steel Br1</vt:lpstr>
      <vt:lpstr>Emirates Engineering </vt:lpstr>
      <vt:lpstr>Trucks</vt:lpstr>
      <vt:lpstr>Driver Emp code</vt:lpstr>
      <vt:lpstr>CMA</vt:lpstr>
      <vt:lpstr>Sold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Nizam</dc:creator>
  <cp:lastModifiedBy>Sales28 Srinivasan</cp:lastModifiedBy>
  <cp:lastPrinted>2026-10-07T10:25:28Z</cp:lastPrinted>
  <dcterms:created xsi:type="dcterms:W3CDTF">2024-05-27T04:45:36Z</dcterms:created>
  <dcterms:modified xsi:type="dcterms:W3CDTF">2026-10-08T07:03:16Z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0x010100B4A2725308DD4749BC94EE2AB3CC7A4D</vt:lpwstr>
  </property>
  <property fmtid="{D5CDD505-2E9C-101B-9397-08002B2CF9AE}" pid="3" name="MediaServiceImageTags">
    <vt:lpwstr/>
  </property>
</Properties>
</file>